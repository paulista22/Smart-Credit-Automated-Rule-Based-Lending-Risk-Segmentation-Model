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paubr\OneDrive\Escritorio\DATA ANALYST\projects portafolio\excel project\excel_loan_FINANZIA\"/>
    </mc:Choice>
  </mc:AlternateContent>
  <xr:revisionPtr revIDLastSave="0" documentId="13_ncr:1_{B4E53ED2-6E9E-418D-80D6-F1D44B991665}" xr6:coauthVersionLast="47" xr6:coauthVersionMax="47" xr10:uidLastSave="{00000000-0000-0000-0000-000000000000}"/>
  <bookViews>
    <workbookView xWindow="-108" yWindow="-108" windowWidth="23256" windowHeight="12456" firstSheet="2" activeTab="3" xr2:uid="{1A504C83-DAE7-450A-8A9F-AEA1142AD5DE}"/>
  </bookViews>
  <sheets>
    <sheet name="raw_data" sheetId="5" r:id="rId1"/>
    <sheet name="clean_PQ" sheetId="1" r:id="rId2"/>
    <sheet name="clean_macro." sheetId="4" r:id="rId3"/>
    <sheet name="Evaluations" sheetId="6" r:id="rId4"/>
    <sheet name="Client_look_up" sheetId="8" r:id="rId5"/>
    <sheet name="pivot_tables" sheetId="7" r:id="rId6"/>
    <sheet name="dashboards" sheetId="3" r:id="rId7"/>
  </sheets>
  <definedNames>
    <definedName name="ExternalData_1" localSheetId="2" hidden="1">'clean_macro.'!#REF!</definedName>
    <definedName name="ExternalData_1" localSheetId="1" hidden="1">clean_PQ!$A$1:$J$501</definedName>
    <definedName name="ExternalData_1" localSheetId="0" hidden="1">raw_data!$A$1:$J$501</definedName>
    <definedName name="ExternalData_2" localSheetId="2" hidden="1">'clean_macro.'!$A$1:$K$603</definedName>
    <definedName name="Slicer_Decision">#N/A</definedName>
  </definedNames>
  <calcPr calcId="191029"/>
  <pivotCaches>
    <pivotCache cacheId="7" r:id="rId8"/>
    <pivotCache cacheId="12"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03" i="6" l="1"/>
  <c r="L601" i="6"/>
  <c r="L602" i="6"/>
  <c r="L600" i="6"/>
  <c r="L599" i="6"/>
  <c r="L598" i="6"/>
  <c r="L597" i="6"/>
  <c r="L596" i="6"/>
  <c r="L595" i="6"/>
  <c r="L594" i="6"/>
  <c r="L593" i="6"/>
  <c r="L592" i="6"/>
  <c r="L591" i="6"/>
  <c r="L590" i="6"/>
  <c r="L589" i="6"/>
  <c r="L588" i="6"/>
  <c r="L587" i="6"/>
  <c r="L586" i="6"/>
  <c r="L585" i="6"/>
  <c r="L584" i="6"/>
  <c r="L583" i="6"/>
  <c r="L582" i="6"/>
  <c r="L581" i="6"/>
  <c r="L580" i="6"/>
  <c r="L579" i="6"/>
  <c r="L578" i="6"/>
  <c r="L577" i="6"/>
  <c r="L576" i="6"/>
  <c r="L575" i="6"/>
  <c r="L574" i="6"/>
  <c r="L573" i="6"/>
  <c r="L572" i="6"/>
  <c r="L571" i="6"/>
  <c r="L570" i="6"/>
  <c r="L569" i="6"/>
  <c r="L568" i="6"/>
  <c r="L567" i="6"/>
  <c r="L566" i="6"/>
  <c r="L565" i="6"/>
  <c r="L564" i="6"/>
  <c r="L563" i="6"/>
  <c r="L562" i="6"/>
  <c r="L561" i="6"/>
  <c r="L560" i="6"/>
  <c r="L559" i="6"/>
  <c r="L558" i="6"/>
  <c r="L557" i="6"/>
  <c r="L556" i="6"/>
  <c r="L555" i="6"/>
  <c r="L554" i="6"/>
  <c r="L553" i="6"/>
  <c r="L552" i="6"/>
  <c r="L551" i="6"/>
  <c r="L550" i="6"/>
  <c r="L549" i="6"/>
  <c r="L548" i="6"/>
  <c r="L547" i="6"/>
  <c r="L546" i="6"/>
  <c r="L545" i="6"/>
  <c r="L544" i="6"/>
  <c r="L543" i="6"/>
  <c r="L542" i="6"/>
  <c r="L541" i="6"/>
  <c r="L540" i="6"/>
  <c r="L539" i="6"/>
  <c r="L538" i="6"/>
  <c r="L537" i="6"/>
  <c r="L536" i="6"/>
  <c r="L535" i="6"/>
  <c r="L534" i="6"/>
  <c r="L533" i="6"/>
  <c r="L532" i="6"/>
  <c r="L531" i="6"/>
  <c r="L530" i="6"/>
  <c r="L529" i="6"/>
  <c r="L528" i="6"/>
  <c r="L527" i="6"/>
  <c r="L526" i="6"/>
  <c r="L525" i="6"/>
  <c r="L524" i="6"/>
  <c r="L523" i="6"/>
  <c r="L522" i="6"/>
  <c r="L521" i="6"/>
  <c r="L520" i="6"/>
  <c r="L519" i="6"/>
  <c r="L518" i="6"/>
  <c r="L517" i="6"/>
  <c r="L516" i="6"/>
  <c r="L515" i="6"/>
  <c r="L514" i="6"/>
  <c r="L513" i="6"/>
  <c r="L512" i="6"/>
  <c r="L511" i="6"/>
  <c r="L510" i="6"/>
  <c r="L509" i="6"/>
  <c r="L508" i="6"/>
  <c r="L507" i="6"/>
  <c r="L506" i="6"/>
  <c r="L505" i="6"/>
  <c r="L504" i="6"/>
  <c r="L503" i="6"/>
  <c r="L502" i="6"/>
  <c r="D4" i="8"/>
  <c r="D15" i="8" a="1"/>
  <c r="D15" i="8" s="1"/>
  <c r="D14" i="8"/>
  <c r="D13" i="8"/>
  <c r="D12" i="8"/>
  <c r="D11" i="8"/>
  <c r="D10" i="8"/>
  <c r="D9" i="8"/>
  <c r="D8" i="8"/>
  <c r="D7" i="8"/>
  <c r="D6" i="8"/>
  <c r="D5" i="8"/>
  <c r="G7" i="3"/>
  <c r="L4" i="6"/>
  <c r="L2" i="6"/>
  <c r="L3"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H7" i="3"/>
  <c r="O8" i="3"/>
  <c r="C6"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5A13452-385A-4993-8BF1-7A8C34D79694}" keepAlive="1" name="Query - Clients_500_clean" description="Connection to the 'Clients_500_clean' query in the workbook." type="5" refreshedVersion="8" background="1" saveData="1">
    <dbPr connection="Provider=Microsoft.Mashup.OleDb.1;Data Source=$Workbook$;Location=Clients_500_clean;Extended Properties=&quot;&quot;" command="SELECT * FROM [Clients_500_clean]"/>
  </connection>
  <connection id="2" xr16:uid="{D29B52FE-DF5C-4EDB-9154-88D857BD5B13}" keepAlive="1" name="Query - Clients_500_clean (2)" description="Connection to the 'Clients_500_clean (2)' query in the workbook." type="5" refreshedVersion="8" background="1" saveData="1">
    <dbPr connection="Provider=Microsoft.Mashup.OleDb.1;Data Source=$Workbook$;Location=&quot;Clients_500_clean (2)&quot;;Extended Properties=&quot;&quot;" command="SELECT * FROM [Clients_500_clean (2)]"/>
  </connection>
  <connection id="3" xr16:uid="{B0E45660-9416-42A7-9D0C-A565E592924B}" keepAlive="1" name="Query - Clients_500_clean (3)" description="Connection to the 'Clients_500_clean (3)' query in the workbook." type="5" refreshedVersion="8" background="1" saveData="1">
    <dbPr connection="Provider=Microsoft.Mashup.OleDb.1;Data Source=$Workbook$;Location=&quot;Clients_500_clean (3)&quot;;Extended Properties=&quot;&quot;" command="SELECT * FROM [Clients_500_clean (3)]"/>
  </connection>
  <connection id="4" xr16:uid="{AC971813-614E-4523-BE4C-647CB3CA63D5}" keepAlive="1" name="Query - Clients_500_dirty" description="Connection to the 'Clients_500_dirty' query in the workbook." type="5" refreshedVersion="8" background="1" saveData="1">
    <dbPr connection="Provider=Microsoft.Mashup.OleDb.1;Data Source=$Workbook$;Location=Clients_500_dirty;Extended Properties=&quot;&quot;" command="SELECT * FROM [Clients_500_dirty]"/>
  </connection>
  <connection id="5" xr16:uid="{6D69EA99-2E9E-4D82-B9EF-763D5AAA7B89}" keepAlive="1" name="Query - Clients_500_dirty (2)" description="Connection to the 'Clients_500_dirty (2)' query in the workbook." type="5" refreshedVersion="8" background="1" saveData="1">
    <dbPr connection="Provider=Microsoft.Mashup.OleDb.1;Data Source=$Workbook$;Location=&quot;Clients_500_dirty (2)&quot;;Extended Properties=&quot;&quot;" command="SELECT * FROM [Clients_500_dirty (2)]"/>
  </connection>
  <connection id="6" xr16:uid="{29C1D8BF-EF9E-43F0-95F1-43341C82308A}" keepAlive="1" name="Query - Daily data 2" description="Connection to the 'Daily data 2' query in the workbook." type="5" refreshedVersion="0" background="1">
    <dbPr connection="Provider=Microsoft.Mashup.OleDb.1;Data Source=$Workbook$;Location=&quot;Daily data 2&quot;;Extended Properties=&quot;&quot;" command="SELECT * FROM [Daily data 2]"/>
  </connection>
  <connection id="7" xr16:uid="{1ACE4FA9-39DE-40CB-8570-56B0137CBD65}" keepAlive="1" name="Query - Daily data 2 (2)" description="Connection to the 'Daily data 2 (2)' query in the workbook." type="5" refreshedVersion="8" background="1" saveData="1">
    <dbPr connection="Provider=Microsoft.Mashup.OleDb.1;Data Source=$Workbook$;Location=&quot;Daily data 2 (2)&quot;;Extended Properties=&quot;&quot;" command="SELECT * FROM [Daily data 2 (2)]"/>
  </connection>
  <connection id="8" xr16:uid="{248DE290-F982-4758-9026-FF8DE31BA1EB}" keepAlive="1" name="Query - Daily data 2 (3)" description="Connection to the 'Daily data 2 (3)' query in the workbook." type="5" refreshedVersion="8" background="1" saveData="1">
    <dbPr connection="Provider=Microsoft.Mashup.OleDb.1;Data Source=$Workbook$;Location=&quot;Daily data 2 (3)&quot;;Extended Properties=&quot;&quot;" command="SELECT * FROM [Daily data 2 (3)]"/>
  </connection>
  <connection id="9" xr16:uid="{22670FA9-E17D-4E81-AD9A-355D9293BE2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10" xr16:uid="{73D3265B-6E0F-4973-BA39-397CF6C60393}"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1" xr16:uid="{9FBF175F-529F-4401-B73E-1F7D402D5051}"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2" xr16:uid="{AEC1644B-293B-4721-9C6E-74A994583DBF}"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3" xr16:uid="{CB9A7E4F-20CD-4EF9-B29F-E2592E13958A}"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4" xr16:uid="{AD738A21-CE02-41C7-9AAE-C47FF1F737F7}"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5" xr16:uid="{18550C21-6EE0-4AA3-A031-8C472EA516F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6" xr16:uid="{6E559DDE-2B7C-48E5-92E5-C61B947E19E5}"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7" xr16:uid="{1272AB44-1367-496E-8A26-28ADFC57F375}"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18" xr16:uid="{AF690D5F-5307-4FA9-9BAB-08B7EABE0B0F}"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9" xr16:uid="{90FCC48D-C321-4DDF-948F-723965DAD7B2}"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0" xr16:uid="{AB4261F5-73BD-45F6-B9A8-32CA0F145081}"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<sst xmlns="http://schemas.openxmlformats.org/spreadsheetml/2006/main" count="7889" uniqueCount="2422">
  <si>
    <t>ID</t>
  </si>
  <si>
    <t>Client_Name</t>
  </si>
  <si>
    <t>Age</t>
  </si>
  <si>
    <t>Monthly_Income</t>
  </si>
  <si>
    <t>Loan_Amount</t>
  </si>
  <si>
    <t>Annual_Rate</t>
  </si>
  <si>
    <t>Term_Years</t>
  </si>
  <si>
    <t>Credit_Score</t>
  </si>
  <si>
    <t>Years_Employment</t>
  </si>
  <si>
    <t>Current_Debt</t>
  </si>
  <si>
    <t>Client_1</t>
  </si>
  <si>
    <t>N/A</t>
  </si>
  <si>
    <t>118763</t>
  </si>
  <si>
    <t>14788</t>
  </si>
  <si>
    <t>Client_2</t>
  </si>
  <si>
    <t>unknown</t>
  </si>
  <si>
    <t>37601</t>
  </si>
  <si>
    <t>Client_3</t>
  </si>
  <si>
    <t>87088</t>
  </si>
  <si>
    <t>604</t>
  </si>
  <si>
    <t>48520</t>
  </si>
  <si>
    <t>Client_4</t>
  </si>
  <si>
    <t>44694</t>
  </si>
  <si>
    <t>Client_5</t>
  </si>
  <si>
    <t>49754</t>
  </si>
  <si>
    <t>Client_6</t>
  </si>
  <si>
    <t>52</t>
  </si>
  <si>
    <t>688</t>
  </si>
  <si>
    <t>Client_7</t>
  </si>
  <si>
    <t xml:space="preserve">22696 </t>
  </si>
  <si>
    <t>7203</t>
  </si>
  <si>
    <t>Client_8</t>
  </si>
  <si>
    <t>39</t>
  </si>
  <si>
    <t>42047</t>
  </si>
  <si>
    <t>33924</t>
  </si>
  <si>
    <t>Client_9</t>
  </si>
  <si>
    <t>37</t>
  </si>
  <si>
    <t>91980</t>
  </si>
  <si>
    <t>22851</t>
  </si>
  <si>
    <t>Client_10</t>
  </si>
  <si>
    <t>43</t>
  </si>
  <si>
    <t>39130</t>
  </si>
  <si>
    <t>43729</t>
  </si>
  <si>
    <t>Client_11</t>
  </si>
  <si>
    <t>90111</t>
  </si>
  <si>
    <t>Client_12</t>
  </si>
  <si>
    <t xml:space="preserve">95605 </t>
  </si>
  <si>
    <t>7985</t>
  </si>
  <si>
    <t>Client_13</t>
  </si>
  <si>
    <t>638</t>
  </si>
  <si>
    <t>41216</t>
  </si>
  <si>
    <t>Client_14</t>
  </si>
  <si>
    <t>690</t>
  </si>
  <si>
    <t>5569</t>
  </si>
  <si>
    <t>Client_15</t>
  </si>
  <si>
    <t>82820</t>
  </si>
  <si>
    <t>652</t>
  </si>
  <si>
    <t>38697</t>
  </si>
  <si>
    <t>Client_16</t>
  </si>
  <si>
    <t>40</t>
  </si>
  <si>
    <t>21655</t>
  </si>
  <si>
    <t>850</t>
  </si>
  <si>
    <t>7111</t>
  </si>
  <si>
    <t>Client_17</t>
  </si>
  <si>
    <t xml:space="preserve">33572 </t>
  </si>
  <si>
    <t>728</t>
  </si>
  <si>
    <t>40084</t>
  </si>
  <si>
    <t>Client_18</t>
  </si>
  <si>
    <t>52619</t>
  </si>
  <si>
    <t>Client_19</t>
  </si>
  <si>
    <t>24876</t>
  </si>
  <si>
    <t>Client_20</t>
  </si>
  <si>
    <t>Client_21</t>
  </si>
  <si>
    <t>Client_22</t>
  </si>
  <si>
    <t>846</t>
  </si>
  <si>
    <t>4255</t>
  </si>
  <si>
    <t>Client_23</t>
  </si>
  <si>
    <t>119634</t>
  </si>
  <si>
    <t>760</t>
  </si>
  <si>
    <t>32528</t>
  </si>
  <si>
    <t>Client_24</t>
  </si>
  <si>
    <t>732</t>
  </si>
  <si>
    <t>Client_25</t>
  </si>
  <si>
    <t>22043</t>
  </si>
  <si>
    <t>807</t>
  </si>
  <si>
    <t>Client_26</t>
  </si>
  <si>
    <t xml:space="preserve">34366 </t>
  </si>
  <si>
    <t>Client_27</t>
  </si>
  <si>
    <t>64</t>
  </si>
  <si>
    <t xml:space="preserve">63504 </t>
  </si>
  <si>
    <t>24669</t>
  </si>
  <si>
    <t>Client_28</t>
  </si>
  <si>
    <t xml:space="preserve">33239 </t>
  </si>
  <si>
    <t>Client_29</t>
  </si>
  <si>
    <t xml:space="preserve">113790 </t>
  </si>
  <si>
    <t>636</t>
  </si>
  <si>
    <t>32669</t>
  </si>
  <si>
    <t>Client_30</t>
  </si>
  <si>
    <t xml:space="preserve">102099 </t>
  </si>
  <si>
    <t>634</t>
  </si>
  <si>
    <t>Client_31</t>
  </si>
  <si>
    <t>824</t>
  </si>
  <si>
    <t>Client_32</t>
  </si>
  <si>
    <t>9265</t>
  </si>
  <si>
    <t>Client_33</t>
  </si>
  <si>
    <t>27729</t>
  </si>
  <si>
    <t>Client_34</t>
  </si>
  <si>
    <t>42550</t>
  </si>
  <si>
    <t>827</t>
  </si>
  <si>
    <t>8304</t>
  </si>
  <si>
    <t>Client_35</t>
  </si>
  <si>
    <t>8222</t>
  </si>
  <si>
    <t>Client_36</t>
  </si>
  <si>
    <t>60909</t>
  </si>
  <si>
    <t>Client_37</t>
  </si>
  <si>
    <t>102730</t>
  </si>
  <si>
    <t>29096</t>
  </si>
  <si>
    <t>Client_38</t>
  </si>
  <si>
    <t>3579</t>
  </si>
  <si>
    <t>Client_39</t>
  </si>
  <si>
    <t>29</t>
  </si>
  <si>
    <t>Client_40</t>
  </si>
  <si>
    <t xml:space="preserve">20569 </t>
  </si>
  <si>
    <t>Client_41</t>
  </si>
  <si>
    <t xml:space="preserve">17356 </t>
  </si>
  <si>
    <t>631</t>
  </si>
  <si>
    <t>Client_42</t>
  </si>
  <si>
    <t xml:space="preserve">80797 </t>
  </si>
  <si>
    <t>Client_43</t>
  </si>
  <si>
    <t xml:space="preserve">101013 </t>
  </si>
  <si>
    <t>Client_44</t>
  </si>
  <si>
    <t>113279</t>
  </si>
  <si>
    <t>Client_45</t>
  </si>
  <si>
    <t>65442</t>
  </si>
  <si>
    <t>36153</t>
  </si>
  <si>
    <t>Client_46</t>
  </si>
  <si>
    <t>23000</t>
  </si>
  <si>
    <t>Client_47</t>
  </si>
  <si>
    <t xml:space="preserve">100194 </t>
  </si>
  <si>
    <t>755</t>
  </si>
  <si>
    <t>Client_48</t>
  </si>
  <si>
    <t>26</t>
  </si>
  <si>
    <t xml:space="preserve">30715 </t>
  </si>
  <si>
    <t>809</t>
  </si>
  <si>
    <t>45946</t>
  </si>
  <si>
    <t>Client_49</t>
  </si>
  <si>
    <t>23057</t>
  </si>
  <si>
    <t>Client_50</t>
  </si>
  <si>
    <t>18570</t>
  </si>
  <si>
    <t>Client_51</t>
  </si>
  <si>
    <t xml:space="preserve">110066 </t>
  </si>
  <si>
    <t>Client_52</t>
  </si>
  <si>
    <t xml:space="preserve">76502 </t>
  </si>
  <si>
    <t>Client_53</t>
  </si>
  <si>
    <t xml:space="preserve">73406 </t>
  </si>
  <si>
    <t>Client_54</t>
  </si>
  <si>
    <t>50</t>
  </si>
  <si>
    <t>Client_55</t>
  </si>
  <si>
    <t>31</t>
  </si>
  <si>
    <t>Client_56</t>
  </si>
  <si>
    <t>53</t>
  </si>
  <si>
    <t>116746</t>
  </si>
  <si>
    <t>36099</t>
  </si>
  <si>
    <t>Client_57</t>
  </si>
  <si>
    <t>54</t>
  </si>
  <si>
    <t xml:space="preserve">106225 </t>
  </si>
  <si>
    <t>47304</t>
  </si>
  <si>
    <t>Client_58</t>
  </si>
  <si>
    <t xml:space="preserve">90698 </t>
  </si>
  <si>
    <t>Client_59</t>
  </si>
  <si>
    <t>75275</t>
  </si>
  <si>
    <t>Client_60</t>
  </si>
  <si>
    <t>Client_61</t>
  </si>
  <si>
    <t>46165</t>
  </si>
  <si>
    <t>Client_62</t>
  </si>
  <si>
    <t>59422</t>
  </si>
  <si>
    <t>12416</t>
  </si>
  <si>
    <t>Client_63</t>
  </si>
  <si>
    <t>Client_64</t>
  </si>
  <si>
    <t xml:space="preserve">100092 </t>
  </si>
  <si>
    <t>30299</t>
  </si>
  <si>
    <t>Client_65</t>
  </si>
  <si>
    <t>101709</t>
  </si>
  <si>
    <t>10978</t>
  </si>
  <si>
    <t>Client_66</t>
  </si>
  <si>
    <t>87242</t>
  </si>
  <si>
    <t>40859</t>
  </si>
  <si>
    <t>Client_67</t>
  </si>
  <si>
    <t>56691</t>
  </si>
  <si>
    <t>650</t>
  </si>
  <si>
    <t>3482</t>
  </si>
  <si>
    <t>Client_68</t>
  </si>
  <si>
    <t>110232</t>
  </si>
  <si>
    <t>39170</t>
  </si>
  <si>
    <t>Client_69</t>
  </si>
  <si>
    <t>99254</t>
  </si>
  <si>
    <t>Client_70</t>
  </si>
  <si>
    <t xml:space="preserve">112460 </t>
  </si>
  <si>
    <t>Client_71</t>
  </si>
  <si>
    <t>28268</t>
  </si>
  <si>
    <t>19322</t>
  </si>
  <si>
    <t>Client_72</t>
  </si>
  <si>
    <t>63</t>
  </si>
  <si>
    <t>104134</t>
  </si>
  <si>
    <t>685</t>
  </si>
  <si>
    <t>14626</t>
  </si>
  <si>
    <t>Client_73</t>
  </si>
  <si>
    <t>51060</t>
  </si>
  <si>
    <t>Client_74</t>
  </si>
  <si>
    <t>44</t>
  </si>
  <si>
    <t xml:space="preserve">33894 </t>
  </si>
  <si>
    <t>18634</t>
  </si>
  <si>
    <t>Client_75</t>
  </si>
  <si>
    <t>17870</t>
  </si>
  <si>
    <t>Client_76</t>
  </si>
  <si>
    <t>65</t>
  </si>
  <si>
    <t>Client_77</t>
  </si>
  <si>
    <t>56</t>
  </si>
  <si>
    <t>686</t>
  </si>
  <si>
    <t>Client_78</t>
  </si>
  <si>
    <t>93959</t>
  </si>
  <si>
    <t>Client_79</t>
  </si>
  <si>
    <t>55839</t>
  </si>
  <si>
    <t>Client_80</t>
  </si>
  <si>
    <t>98713</t>
  </si>
  <si>
    <t>Client_81</t>
  </si>
  <si>
    <t>102930</t>
  </si>
  <si>
    <t>Client_82</t>
  </si>
  <si>
    <t xml:space="preserve">62142 </t>
  </si>
  <si>
    <t>768</t>
  </si>
  <si>
    <t>Client_83</t>
  </si>
  <si>
    <t>26002</t>
  </si>
  <si>
    <t>46533</t>
  </si>
  <si>
    <t>Client_84</t>
  </si>
  <si>
    <t xml:space="preserve">95701 </t>
  </si>
  <si>
    <t>758</t>
  </si>
  <si>
    <t>Client_85</t>
  </si>
  <si>
    <t>47</t>
  </si>
  <si>
    <t>700</t>
  </si>
  <si>
    <t>45054</t>
  </si>
  <si>
    <t>Client_86</t>
  </si>
  <si>
    <t>50254</t>
  </si>
  <si>
    <t>696</t>
  </si>
  <si>
    <t>Client_87</t>
  </si>
  <si>
    <t xml:space="preserve">116182 </t>
  </si>
  <si>
    <t>37684</t>
  </si>
  <si>
    <t>Client_88</t>
  </si>
  <si>
    <t>43221</t>
  </si>
  <si>
    <t>33991</t>
  </si>
  <si>
    <t>Client_89</t>
  </si>
  <si>
    <t>18860</t>
  </si>
  <si>
    <t>Client_90</t>
  </si>
  <si>
    <t>60364</t>
  </si>
  <si>
    <t>667</t>
  </si>
  <si>
    <t>Client_91</t>
  </si>
  <si>
    <t>1208</t>
  </si>
  <si>
    <t>Client_92</t>
  </si>
  <si>
    <t>109637</t>
  </si>
  <si>
    <t>Client_93</t>
  </si>
  <si>
    <t>29148</t>
  </si>
  <si>
    <t>26203</t>
  </si>
  <si>
    <t>Client_94</t>
  </si>
  <si>
    <t>20</t>
  </si>
  <si>
    <t xml:space="preserve">44919 </t>
  </si>
  <si>
    <t>Client_95</t>
  </si>
  <si>
    <t>23</t>
  </si>
  <si>
    <t>113793</t>
  </si>
  <si>
    <t>606</t>
  </si>
  <si>
    <t>Client_96</t>
  </si>
  <si>
    <t>106670</t>
  </si>
  <si>
    <t>13039</t>
  </si>
  <si>
    <t>Client_97</t>
  </si>
  <si>
    <t>58173</t>
  </si>
  <si>
    <t>15341</t>
  </si>
  <si>
    <t>Client_98</t>
  </si>
  <si>
    <t>848</t>
  </si>
  <si>
    <t>15887</t>
  </si>
  <si>
    <t>Client_99</t>
  </si>
  <si>
    <t>26777</t>
  </si>
  <si>
    <t>49056</t>
  </si>
  <si>
    <t>Client_100</t>
  </si>
  <si>
    <t>5859</t>
  </si>
  <si>
    <t>Client_101</t>
  </si>
  <si>
    <t>Client_102</t>
  </si>
  <si>
    <t xml:space="preserve">19571 </t>
  </si>
  <si>
    <t>702</t>
  </si>
  <si>
    <t>Client_103</t>
  </si>
  <si>
    <t xml:space="preserve">92958 </t>
  </si>
  <si>
    <t>14505</t>
  </si>
  <si>
    <t>Client_104</t>
  </si>
  <si>
    <t xml:space="preserve">67098 </t>
  </si>
  <si>
    <t>Client_105</t>
  </si>
  <si>
    <t>32</t>
  </si>
  <si>
    <t xml:space="preserve">29491 </t>
  </si>
  <si>
    <t>Client_106</t>
  </si>
  <si>
    <t>32925</t>
  </si>
  <si>
    <t>605</t>
  </si>
  <si>
    <t>46395</t>
  </si>
  <si>
    <t>Client_107</t>
  </si>
  <si>
    <t>736</t>
  </si>
  <si>
    <t>38690</t>
  </si>
  <si>
    <t>Client_108</t>
  </si>
  <si>
    <t>17080</t>
  </si>
  <si>
    <t>Client_109</t>
  </si>
  <si>
    <t>80578</t>
  </si>
  <si>
    <t>770</t>
  </si>
  <si>
    <t>42097</t>
  </si>
  <si>
    <t>Client_110</t>
  </si>
  <si>
    <t>44884</t>
  </si>
  <si>
    <t>Client_111</t>
  </si>
  <si>
    <t>645</t>
  </si>
  <si>
    <t>33398</t>
  </si>
  <si>
    <t>Client_112</t>
  </si>
  <si>
    <t xml:space="preserve">24613 </t>
  </si>
  <si>
    <t>Client_113</t>
  </si>
  <si>
    <t>10736</t>
  </si>
  <si>
    <t>Client_114</t>
  </si>
  <si>
    <t>8537</t>
  </si>
  <si>
    <t>Client_115</t>
  </si>
  <si>
    <t>107635</t>
  </si>
  <si>
    <t>19929</t>
  </si>
  <si>
    <t>Client_116</t>
  </si>
  <si>
    <t>600</t>
  </si>
  <si>
    <t>20204</t>
  </si>
  <si>
    <t>Client_117</t>
  </si>
  <si>
    <t>101471</t>
  </si>
  <si>
    <t>48189</t>
  </si>
  <si>
    <t>Client_118</t>
  </si>
  <si>
    <t xml:space="preserve">21836 </t>
  </si>
  <si>
    <t>Client_119</t>
  </si>
  <si>
    <t>45</t>
  </si>
  <si>
    <t xml:space="preserve">32483 </t>
  </si>
  <si>
    <t>789</t>
  </si>
  <si>
    <t>4348</t>
  </si>
  <si>
    <t>Client_120</t>
  </si>
  <si>
    <t xml:space="preserve">27640 </t>
  </si>
  <si>
    <t>Client_121</t>
  </si>
  <si>
    <t>37307</t>
  </si>
  <si>
    <t>40426</t>
  </si>
  <si>
    <t>Client_122</t>
  </si>
  <si>
    <t>94007</t>
  </si>
  <si>
    <t>Client_123</t>
  </si>
  <si>
    <t>107214</t>
  </si>
  <si>
    <t>790</t>
  </si>
  <si>
    <t>Client_124</t>
  </si>
  <si>
    <t>Client_125</t>
  </si>
  <si>
    <t xml:space="preserve">18267 </t>
  </si>
  <si>
    <t>Client_126</t>
  </si>
  <si>
    <t>111056</t>
  </si>
  <si>
    <t>689</t>
  </si>
  <si>
    <t>Client_127</t>
  </si>
  <si>
    <t>10092</t>
  </si>
  <si>
    <t>Client_128</t>
  </si>
  <si>
    <t xml:space="preserve">99314 </t>
  </si>
  <si>
    <t>20948</t>
  </si>
  <si>
    <t>Client_129</t>
  </si>
  <si>
    <t>28850</t>
  </si>
  <si>
    <t>40223</t>
  </si>
  <si>
    <t>Client_130</t>
  </si>
  <si>
    <t>64644</t>
  </si>
  <si>
    <t>43545</t>
  </si>
  <si>
    <t>Client_131</t>
  </si>
  <si>
    <t>Client_132</t>
  </si>
  <si>
    <t xml:space="preserve">83191 </t>
  </si>
  <si>
    <t>655</t>
  </si>
  <si>
    <t>25346</t>
  </si>
  <si>
    <t>Client_133</t>
  </si>
  <si>
    <t>33</t>
  </si>
  <si>
    <t xml:space="preserve">106050 </t>
  </si>
  <si>
    <t>32557</t>
  </si>
  <si>
    <t>Client_134</t>
  </si>
  <si>
    <t>60</t>
  </si>
  <si>
    <t>1451</t>
  </si>
  <si>
    <t>Client_135</t>
  </si>
  <si>
    <t>18070</t>
  </si>
  <si>
    <t>Client_136</t>
  </si>
  <si>
    <t>84887</t>
  </si>
  <si>
    <t>Client_137</t>
  </si>
  <si>
    <t xml:space="preserve">92285 </t>
  </si>
  <si>
    <t>27877</t>
  </si>
  <si>
    <t>Client_138</t>
  </si>
  <si>
    <t xml:space="preserve">64718 </t>
  </si>
  <si>
    <t>26082</t>
  </si>
  <si>
    <t>Client_139</t>
  </si>
  <si>
    <t>Client_140</t>
  </si>
  <si>
    <t>21</t>
  </si>
  <si>
    <t xml:space="preserve">84201 </t>
  </si>
  <si>
    <t>Client_141</t>
  </si>
  <si>
    <t>Client_142</t>
  </si>
  <si>
    <t xml:space="preserve">24673 </t>
  </si>
  <si>
    <t>Client_143</t>
  </si>
  <si>
    <t xml:space="preserve">68999 </t>
  </si>
  <si>
    <t>Client_144</t>
  </si>
  <si>
    <t xml:space="preserve">81893 </t>
  </si>
  <si>
    <t>26412</t>
  </si>
  <si>
    <t>Client_145</t>
  </si>
  <si>
    <t xml:space="preserve">105680 </t>
  </si>
  <si>
    <t>709</t>
  </si>
  <si>
    <t>2131</t>
  </si>
  <si>
    <t>Client_146</t>
  </si>
  <si>
    <t>91383</t>
  </si>
  <si>
    <t>821</t>
  </si>
  <si>
    <t>Client_147</t>
  </si>
  <si>
    <t>21249</t>
  </si>
  <si>
    <t>Client_148</t>
  </si>
  <si>
    <t>16630</t>
  </si>
  <si>
    <t>Client_149</t>
  </si>
  <si>
    <t>Client_150</t>
  </si>
  <si>
    <t xml:space="preserve">48345 </t>
  </si>
  <si>
    <t>20684</t>
  </si>
  <si>
    <t>Client_151</t>
  </si>
  <si>
    <t>57</t>
  </si>
  <si>
    <t>76978</t>
  </si>
  <si>
    <t>Client_152</t>
  </si>
  <si>
    <t xml:space="preserve">72578 </t>
  </si>
  <si>
    <t>41440</t>
  </si>
  <si>
    <t>Client_153</t>
  </si>
  <si>
    <t>36</t>
  </si>
  <si>
    <t xml:space="preserve">108199 </t>
  </si>
  <si>
    <t>27739</t>
  </si>
  <si>
    <t>Client_154</t>
  </si>
  <si>
    <t>783</t>
  </si>
  <si>
    <t>Client_155</t>
  </si>
  <si>
    <t xml:space="preserve">115556 </t>
  </si>
  <si>
    <t>759</t>
  </si>
  <si>
    <t>Client_156</t>
  </si>
  <si>
    <t xml:space="preserve">74225 </t>
  </si>
  <si>
    <t>45791</t>
  </si>
  <si>
    <t>Client_157</t>
  </si>
  <si>
    <t>48059</t>
  </si>
  <si>
    <t>Client_158</t>
  </si>
  <si>
    <t>91356</t>
  </si>
  <si>
    <t>Client_159</t>
  </si>
  <si>
    <t xml:space="preserve">49035 </t>
  </si>
  <si>
    <t>Client_160</t>
  </si>
  <si>
    <t>22</t>
  </si>
  <si>
    <t>Client_161</t>
  </si>
  <si>
    <t>832</t>
  </si>
  <si>
    <t>37894</t>
  </si>
  <si>
    <t>Client_162</t>
  </si>
  <si>
    <t>620</t>
  </si>
  <si>
    <t>13226</t>
  </si>
  <si>
    <t>Client_163</t>
  </si>
  <si>
    <t xml:space="preserve">106255 </t>
  </si>
  <si>
    <t>Client_164</t>
  </si>
  <si>
    <t>13718</t>
  </si>
  <si>
    <t>Client_165</t>
  </si>
  <si>
    <t>12135</t>
  </si>
  <si>
    <t>Client_166</t>
  </si>
  <si>
    <t>Client_167</t>
  </si>
  <si>
    <t xml:space="preserve">22445 </t>
  </si>
  <si>
    <t>Client_168</t>
  </si>
  <si>
    <t>103663</t>
  </si>
  <si>
    <t>738</t>
  </si>
  <si>
    <t>Client_169</t>
  </si>
  <si>
    <t xml:space="preserve">86427 </t>
  </si>
  <si>
    <t>28410</t>
  </si>
  <si>
    <t>Client_170</t>
  </si>
  <si>
    <t xml:space="preserve">33501 </t>
  </si>
  <si>
    <t>43153</t>
  </si>
  <si>
    <t>Client_171</t>
  </si>
  <si>
    <t>632</t>
  </si>
  <si>
    <t>2609</t>
  </si>
  <si>
    <t>Client_172</t>
  </si>
  <si>
    <t>31981</t>
  </si>
  <si>
    <t>Client_173</t>
  </si>
  <si>
    <t>712</t>
  </si>
  <si>
    <t>Client_174</t>
  </si>
  <si>
    <t>61</t>
  </si>
  <si>
    <t>61416</t>
  </si>
  <si>
    <t>45033</t>
  </si>
  <si>
    <t>Client_175</t>
  </si>
  <si>
    <t>34423</t>
  </si>
  <si>
    <t>Client_176</t>
  </si>
  <si>
    <t xml:space="preserve">68191 </t>
  </si>
  <si>
    <t>734</t>
  </si>
  <si>
    <t>13958</t>
  </si>
  <si>
    <t>Client_177</t>
  </si>
  <si>
    <t>22548</t>
  </si>
  <si>
    <t>Client_178</t>
  </si>
  <si>
    <t xml:space="preserve">90206 </t>
  </si>
  <si>
    <t>730</t>
  </si>
  <si>
    <t>Client_179</t>
  </si>
  <si>
    <t>27215</t>
  </si>
  <si>
    <t>737</t>
  </si>
  <si>
    <t>Client_180</t>
  </si>
  <si>
    <t>93271</t>
  </si>
  <si>
    <t>Client_181</t>
  </si>
  <si>
    <t xml:space="preserve">96307 </t>
  </si>
  <si>
    <t>33069</t>
  </si>
  <si>
    <t>Client_182</t>
  </si>
  <si>
    <t>67826</t>
  </si>
  <si>
    <t>767</t>
  </si>
  <si>
    <t>36863</t>
  </si>
  <si>
    <t>Client_183</t>
  </si>
  <si>
    <t>68034</t>
  </si>
  <si>
    <t>671</t>
  </si>
  <si>
    <t>32587</t>
  </si>
  <si>
    <t>Client_184</t>
  </si>
  <si>
    <t xml:space="preserve">116011 </t>
  </si>
  <si>
    <t>Client_185</t>
  </si>
  <si>
    <t xml:space="preserve">93383 </t>
  </si>
  <si>
    <t>Client_186</t>
  </si>
  <si>
    <t>100146</t>
  </si>
  <si>
    <t>615</t>
  </si>
  <si>
    <t>24583</t>
  </si>
  <si>
    <t>Client_187</t>
  </si>
  <si>
    <t xml:space="preserve">15487 </t>
  </si>
  <si>
    <t>Client_188</t>
  </si>
  <si>
    <t>628</t>
  </si>
  <si>
    <t>16374</t>
  </si>
  <si>
    <t>Client_189</t>
  </si>
  <si>
    <t>50612</t>
  </si>
  <si>
    <t>49974</t>
  </si>
  <si>
    <t>Client_190</t>
  </si>
  <si>
    <t>118352</t>
  </si>
  <si>
    <t>46198</t>
  </si>
  <si>
    <t>Client_191</t>
  </si>
  <si>
    <t>733</t>
  </si>
  <si>
    <t>Client_192</t>
  </si>
  <si>
    <t>41</t>
  </si>
  <si>
    <t xml:space="preserve">108239 </t>
  </si>
  <si>
    <t>Client_193</t>
  </si>
  <si>
    <t>30</t>
  </si>
  <si>
    <t>72415</t>
  </si>
  <si>
    <t>Client_194</t>
  </si>
  <si>
    <t>720</t>
  </si>
  <si>
    <t>13489</t>
  </si>
  <si>
    <t>Client_195</t>
  </si>
  <si>
    <t>34868</t>
  </si>
  <si>
    <t>Client_196</t>
  </si>
  <si>
    <t xml:space="preserve">93007 </t>
  </si>
  <si>
    <t>Client_197</t>
  </si>
  <si>
    <t>51</t>
  </si>
  <si>
    <t>Client_198</t>
  </si>
  <si>
    <t>Client_199</t>
  </si>
  <si>
    <t xml:space="preserve">37191 </t>
  </si>
  <si>
    <t>699</t>
  </si>
  <si>
    <t>Client_200</t>
  </si>
  <si>
    <t xml:space="preserve">22172 </t>
  </si>
  <si>
    <t>Client_201</t>
  </si>
  <si>
    <t>19869</t>
  </si>
  <si>
    <t>Client_202</t>
  </si>
  <si>
    <t xml:space="preserve">108316 </t>
  </si>
  <si>
    <t>Client_203</t>
  </si>
  <si>
    <t xml:space="preserve">47859 </t>
  </si>
  <si>
    <t>36073</t>
  </si>
  <si>
    <t>Client_204</t>
  </si>
  <si>
    <t>70803</t>
  </si>
  <si>
    <t>808</t>
  </si>
  <si>
    <t>8470</t>
  </si>
  <si>
    <t>Client_205</t>
  </si>
  <si>
    <t>Client_206</t>
  </si>
  <si>
    <t>649</t>
  </si>
  <si>
    <t>8045</t>
  </si>
  <si>
    <t>Client_207</t>
  </si>
  <si>
    <t>Client_208</t>
  </si>
  <si>
    <t xml:space="preserve">16998 </t>
  </si>
  <si>
    <t>Client_209</t>
  </si>
  <si>
    <t>48</t>
  </si>
  <si>
    <t xml:space="preserve">92317 </t>
  </si>
  <si>
    <t>Client_210</t>
  </si>
  <si>
    <t>17198</t>
  </si>
  <si>
    <t>757</t>
  </si>
  <si>
    <t>44674</t>
  </si>
  <si>
    <t>Client_211</t>
  </si>
  <si>
    <t>62</t>
  </si>
  <si>
    <t>Client_212</t>
  </si>
  <si>
    <t>Client_213</t>
  </si>
  <si>
    <t>Client_214</t>
  </si>
  <si>
    <t>52359</t>
  </si>
  <si>
    <t>28986</t>
  </si>
  <si>
    <t>Client_215</t>
  </si>
  <si>
    <t>49</t>
  </si>
  <si>
    <t>40207</t>
  </si>
  <si>
    <t>Client_216</t>
  </si>
  <si>
    <t>47693</t>
  </si>
  <si>
    <t>3547</t>
  </si>
  <si>
    <t>Client_217</t>
  </si>
  <si>
    <t>Client_218</t>
  </si>
  <si>
    <t>42</t>
  </si>
  <si>
    <t>Client_219</t>
  </si>
  <si>
    <t xml:space="preserve">107637 </t>
  </si>
  <si>
    <t>31301</t>
  </si>
  <si>
    <t>Client_220</t>
  </si>
  <si>
    <t>39490</t>
  </si>
  <si>
    <t>Client_221</t>
  </si>
  <si>
    <t xml:space="preserve">104492 </t>
  </si>
  <si>
    <t>839</t>
  </si>
  <si>
    <t>6245</t>
  </si>
  <si>
    <t>Client_222</t>
  </si>
  <si>
    <t xml:space="preserve">18525 </t>
  </si>
  <si>
    <t>24377</t>
  </si>
  <si>
    <t>Client_223</t>
  </si>
  <si>
    <t>49144</t>
  </si>
  <si>
    <t>21478</t>
  </si>
  <si>
    <t>Client_224</t>
  </si>
  <si>
    <t>Client_225</t>
  </si>
  <si>
    <t>44315</t>
  </si>
  <si>
    <t>Client_226</t>
  </si>
  <si>
    <t xml:space="preserve">68764 </t>
  </si>
  <si>
    <t>Client_227</t>
  </si>
  <si>
    <t xml:space="preserve">94100 </t>
  </si>
  <si>
    <t>624</t>
  </si>
  <si>
    <t>Client_228</t>
  </si>
  <si>
    <t xml:space="preserve">97467 </t>
  </si>
  <si>
    <t>681</t>
  </si>
  <si>
    <t>Client_229</t>
  </si>
  <si>
    <t>69329</t>
  </si>
  <si>
    <t>29491</t>
  </si>
  <si>
    <t>Client_230</t>
  </si>
  <si>
    <t xml:space="preserve">85278 </t>
  </si>
  <si>
    <t>Client_231</t>
  </si>
  <si>
    <t>43500</t>
  </si>
  <si>
    <t>Client_232</t>
  </si>
  <si>
    <t xml:space="preserve">53033 </t>
  </si>
  <si>
    <t>12422</t>
  </si>
  <si>
    <t>Client_233</t>
  </si>
  <si>
    <t>65966</t>
  </si>
  <si>
    <t>Client_234</t>
  </si>
  <si>
    <t>43640</t>
  </si>
  <si>
    <t>28925</t>
  </si>
  <si>
    <t>Client_235</t>
  </si>
  <si>
    <t>89741</t>
  </si>
  <si>
    <t>804</t>
  </si>
  <si>
    <t>Client_236</t>
  </si>
  <si>
    <t>Client_237</t>
  </si>
  <si>
    <t xml:space="preserve">51504 </t>
  </si>
  <si>
    <t>31423</t>
  </si>
  <si>
    <t>Client_238</t>
  </si>
  <si>
    <t>Client_239</t>
  </si>
  <si>
    <t xml:space="preserve">18621 </t>
  </si>
  <si>
    <t>Client_240</t>
  </si>
  <si>
    <t>816</t>
  </si>
  <si>
    <t>Client_241</t>
  </si>
  <si>
    <t>21986</t>
  </si>
  <si>
    <t>36124</t>
  </si>
  <si>
    <t>Client_242</t>
  </si>
  <si>
    <t>58560</t>
  </si>
  <si>
    <t>18905</t>
  </si>
  <si>
    <t>Client_243</t>
  </si>
  <si>
    <t>1801</t>
  </si>
  <si>
    <t>Client_244</t>
  </si>
  <si>
    <t>Client_245</t>
  </si>
  <si>
    <t xml:space="preserve">89858 </t>
  </si>
  <si>
    <t>Client_246</t>
  </si>
  <si>
    <t>55</t>
  </si>
  <si>
    <t xml:space="preserve">54967 </t>
  </si>
  <si>
    <t>17605</t>
  </si>
  <si>
    <t>Client_247</t>
  </si>
  <si>
    <t>718</t>
  </si>
  <si>
    <t>15442</t>
  </si>
  <si>
    <t>Client_248</t>
  </si>
  <si>
    <t xml:space="preserve">45252 </t>
  </si>
  <si>
    <t>11816</t>
  </si>
  <si>
    <t>Client_249</t>
  </si>
  <si>
    <t xml:space="preserve">50165 </t>
  </si>
  <si>
    <t>Client_250</t>
  </si>
  <si>
    <t xml:space="preserve">98684 </t>
  </si>
  <si>
    <t>44779</t>
  </si>
  <si>
    <t>Client_251</t>
  </si>
  <si>
    <t>Client_252</t>
  </si>
  <si>
    <t>90785</t>
  </si>
  <si>
    <t>826</t>
  </si>
  <si>
    <t>6387</t>
  </si>
  <si>
    <t>Client_253</t>
  </si>
  <si>
    <t xml:space="preserve">18155 </t>
  </si>
  <si>
    <t>47342</t>
  </si>
  <si>
    <t>Client_254</t>
  </si>
  <si>
    <t>24783</t>
  </si>
  <si>
    <t>Client_255</t>
  </si>
  <si>
    <t xml:space="preserve">33049 </t>
  </si>
  <si>
    <t>45827</t>
  </si>
  <si>
    <t>Client_256</t>
  </si>
  <si>
    <t xml:space="preserve">68236 </t>
  </si>
  <si>
    <t>39502</t>
  </si>
  <si>
    <t>Client_257</t>
  </si>
  <si>
    <t xml:space="preserve">62438 </t>
  </si>
  <si>
    <t>2599</t>
  </si>
  <si>
    <t>Client_258</t>
  </si>
  <si>
    <t xml:space="preserve">18763 </t>
  </si>
  <si>
    <t>14277</t>
  </si>
  <si>
    <t>Client_259</t>
  </si>
  <si>
    <t xml:space="preserve">45275 </t>
  </si>
  <si>
    <t>724</t>
  </si>
  <si>
    <t>Client_260</t>
  </si>
  <si>
    <t>34227</t>
  </si>
  <si>
    <t>19240</t>
  </si>
  <si>
    <t>Client_261</t>
  </si>
  <si>
    <t>83550</t>
  </si>
  <si>
    <t>26983</t>
  </si>
  <si>
    <t>Client_262</t>
  </si>
  <si>
    <t xml:space="preserve">25685 </t>
  </si>
  <si>
    <t>610</t>
  </si>
  <si>
    <t>Client_263</t>
  </si>
  <si>
    <t>58</t>
  </si>
  <si>
    <t>Client_264</t>
  </si>
  <si>
    <t>79740</t>
  </si>
  <si>
    <t>Client_265</t>
  </si>
  <si>
    <t>24</t>
  </si>
  <si>
    <t>69668</t>
  </si>
  <si>
    <t>3744</t>
  </si>
  <si>
    <t>Client_266</t>
  </si>
  <si>
    <t xml:space="preserve">92579 </t>
  </si>
  <si>
    <t>Client_267</t>
  </si>
  <si>
    <t>19025</t>
  </si>
  <si>
    <t>23435</t>
  </si>
  <si>
    <t>Client_268</t>
  </si>
  <si>
    <t>Client_269</t>
  </si>
  <si>
    <t>34543</t>
  </si>
  <si>
    <t>Client_270</t>
  </si>
  <si>
    <t xml:space="preserve">76895 </t>
  </si>
  <si>
    <t>38487</t>
  </si>
  <si>
    <t>Client_271</t>
  </si>
  <si>
    <t>59486</t>
  </si>
  <si>
    <t>Client_272</t>
  </si>
  <si>
    <t>Client_273</t>
  </si>
  <si>
    <t xml:space="preserve">42710 </t>
  </si>
  <si>
    <t>Client_274</t>
  </si>
  <si>
    <t>118670</t>
  </si>
  <si>
    <t>Client_275</t>
  </si>
  <si>
    <t xml:space="preserve">76943 </t>
  </si>
  <si>
    <t>612</t>
  </si>
  <si>
    <t>9721</t>
  </si>
  <si>
    <t>Client_276</t>
  </si>
  <si>
    <t>86173</t>
  </si>
  <si>
    <t>29409</t>
  </si>
  <si>
    <t>Client_277</t>
  </si>
  <si>
    <t>117134</t>
  </si>
  <si>
    <t>17194</t>
  </si>
  <si>
    <t>Client_278</t>
  </si>
  <si>
    <t>658</t>
  </si>
  <si>
    <t>41299</t>
  </si>
  <si>
    <t>Client_279</t>
  </si>
  <si>
    <t>828</t>
  </si>
  <si>
    <t>24610</t>
  </si>
  <si>
    <t>Client_280</t>
  </si>
  <si>
    <t>Client_281</t>
  </si>
  <si>
    <t>32927</t>
  </si>
  <si>
    <t>Client_282</t>
  </si>
  <si>
    <t>94448</t>
  </si>
  <si>
    <t>Client_283</t>
  </si>
  <si>
    <t xml:space="preserve">60878 </t>
  </si>
  <si>
    <t>659</t>
  </si>
  <si>
    <t>Client_284</t>
  </si>
  <si>
    <t xml:space="preserve">104588 </t>
  </si>
  <si>
    <t>24003</t>
  </si>
  <si>
    <t>Client_285</t>
  </si>
  <si>
    <t xml:space="preserve">102601 </t>
  </si>
  <si>
    <t>641</t>
  </si>
  <si>
    <t>Client_286</t>
  </si>
  <si>
    <t>43274</t>
  </si>
  <si>
    <t>Client_287</t>
  </si>
  <si>
    <t>17677</t>
  </si>
  <si>
    <t>23746</t>
  </si>
  <si>
    <t>Client_288</t>
  </si>
  <si>
    <t>17273</t>
  </si>
  <si>
    <t>43311</t>
  </si>
  <si>
    <t>Client_289</t>
  </si>
  <si>
    <t>20272</t>
  </si>
  <si>
    <t>704</t>
  </si>
  <si>
    <t>Client_290</t>
  </si>
  <si>
    <t>72616</t>
  </si>
  <si>
    <t>28216</t>
  </si>
  <si>
    <t>Client_291</t>
  </si>
  <si>
    <t>Client_292</t>
  </si>
  <si>
    <t>38</t>
  </si>
  <si>
    <t xml:space="preserve">119014 </t>
  </si>
  <si>
    <t>16992</t>
  </si>
  <si>
    <t>Client_293</t>
  </si>
  <si>
    <t>Client_294</t>
  </si>
  <si>
    <t xml:space="preserve">99327 </t>
  </si>
  <si>
    <t>756</t>
  </si>
  <si>
    <t>41273</t>
  </si>
  <si>
    <t>Client_295</t>
  </si>
  <si>
    <t xml:space="preserve">33746 </t>
  </si>
  <si>
    <t>3064</t>
  </si>
  <si>
    <t>Client_296</t>
  </si>
  <si>
    <t>97283</t>
  </si>
  <si>
    <t>812</t>
  </si>
  <si>
    <t>50000</t>
  </si>
  <si>
    <t>Client_297</t>
  </si>
  <si>
    <t>70237</t>
  </si>
  <si>
    <t>Client_298</t>
  </si>
  <si>
    <t xml:space="preserve">82524 </t>
  </si>
  <si>
    <t>779</t>
  </si>
  <si>
    <t>Client_299</t>
  </si>
  <si>
    <t xml:space="preserve">78425 </t>
  </si>
  <si>
    <t>Client_300</t>
  </si>
  <si>
    <t>762</t>
  </si>
  <si>
    <t>Client_301</t>
  </si>
  <si>
    <t>113972</t>
  </si>
  <si>
    <t>Client_302</t>
  </si>
  <si>
    <t>24277</t>
  </si>
  <si>
    <t>Client_303</t>
  </si>
  <si>
    <t>116032</t>
  </si>
  <si>
    <t>647</t>
  </si>
  <si>
    <t>12284</t>
  </si>
  <si>
    <t>Client_304</t>
  </si>
  <si>
    <t xml:space="preserve">101852 </t>
  </si>
  <si>
    <t>Client_305</t>
  </si>
  <si>
    <t>73436</t>
  </si>
  <si>
    <t>Client_306</t>
  </si>
  <si>
    <t xml:space="preserve">40236 </t>
  </si>
  <si>
    <t>Client_307</t>
  </si>
  <si>
    <t>39000</t>
  </si>
  <si>
    <t>Client_308</t>
  </si>
  <si>
    <t>Client_309</t>
  </si>
  <si>
    <t xml:space="preserve">108810 </t>
  </si>
  <si>
    <t>Client_310</t>
  </si>
  <si>
    <t xml:space="preserve">17382 </t>
  </si>
  <si>
    <t>32467</t>
  </si>
  <si>
    <t>Client_311</t>
  </si>
  <si>
    <t xml:space="preserve">20735 </t>
  </si>
  <si>
    <t>Client_312</t>
  </si>
  <si>
    <t>89226</t>
  </si>
  <si>
    <t>Client_313</t>
  </si>
  <si>
    <t>59</t>
  </si>
  <si>
    <t>78118</t>
  </si>
  <si>
    <t>Client_314</t>
  </si>
  <si>
    <t>4337</t>
  </si>
  <si>
    <t>Client_315</t>
  </si>
  <si>
    <t xml:space="preserve">60018 </t>
  </si>
  <si>
    <t>Client_316</t>
  </si>
  <si>
    <t>47397</t>
  </si>
  <si>
    <t>607</t>
  </si>
  <si>
    <t>23182</t>
  </si>
  <si>
    <t>Client_317</t>
  </si>
  <si>
    <t>72301</t>
  </si>
  <si>
    <t>Client_318</t>
  </si>
  <si>
    <t>33482</t>
  </si>
  <si>
    <t>Client_319</t>
  </si>
  <si>
    <t>84955</t>
  </si>
  <si>
    <t>16527</t>
  </si>
  <si>
    <t>Client_320</t>
  </si>
  <si>
    <t>58095</t>
  </si>
  <si>
    <t>714</t>
  </si>
  <si>
    <t>Client_321</t>
  </si>
  <si>
    <t xml:space="preserve">22397 </t>
  </si>
  <si>
    <t>31774</t>
  </si>
  <si>
    <t>Client_322</t>
  </si>
  <si>
    <t xml:space="preserve">93867 </t>
  </si>
  <si>
    <t>Client_323</t>
  </si>
  <si>
    <t xml:space="preserve">112397 </t>
  </si>
  <si>
    <t>45747</t>
  </si>
  <si>
    <t>Client_324</t>
  </si>
  <si>
    <t>22857</t>
  </si>
  <si>
    <t>Client_325</t>
  </si>
  <si>
    <t>91788</t>
  </si>
  <si>
    <t>32722</t>
  </si>
  <si>
    <t>Client_326</t>
  </si>
  <si>
    <t>43506</t>
  </si>
  <si>
    <t>Client_327</t>
  </si>
  <si>
    <t>18412</t>
  </si>
  <si>
    <t>23871</t>
  </si>
  <si>
    <t>Client_328</t>
  </si>
  <si>
    <t>835</t>
  </si>
  <si>
    <t>14939</t>
  </si>
  <si>
    <t>Client_329</t>
  </si>
  <si>
    <t xml:space="preserve">33233 </t>
  </si>
  <si>
    <t>Client_330</t>
  </si>
  <si>
    <t>99527</t>
  </si>
  <si>
    <t>12492</t>
  </si>
  <si>
    <t>Client_331</t>
  </si>
  <si>
    <t>Client_332</t>
  </si>
  <si>
    <t>25</t>
  </si>
  <si>
    <t xml:space="preserve">37600 </t>
  </si>
  <si>
    <t>18780</t>
  </si>
  <si>
    <t>Client_333</t>
  </si>
  <si>
    <t xml:space="preserve">106876 </t>
  </si>
  <si>
    <t>Client_334</t>
  </si>
  <si>
    <t xml:space="preserve">92407 </t>
  </si>
  <si>
    <t>19823</t>
  </si>
  <si>
    <t>Client_335</t>
  </si>
  <si>
    <t>68206</t>
  </si>
  <si>
    <t>Client_336</t>
  </si>
  <si>
    <t>Client_337</t>
  </si>
  <si>
    <t xml:space="preserve">116598 </t>
  </si>
  <si>
    <t>656</t>
  </si>
  <si>
    <t>30810</t>
  </si>
  <si>
    <t>Client_338</t>
  </si>
  <si>
    <t>15748</t>
  </si>
  <si>
    <t>Client_339</t>
  </si>
  <si>
    <t>21897</t>
  </si>
  <si>
    <t>Client_340</t>
  </si>
  <si>
    <t xml:space="preserve">69118 </t>
  </si>
  <si>
    <t>10695</t>
  </si>
  <si>
    <t>Client_341</t>
  </si>
  <si>
    <t xml:space="preserve">114042 </t>
  </si>
  <si>
    <t>33023</t>
  </si>
  <si>
    <t>Client_342</t>
  </si>
  <si>
    <t>705</t>
  </si>
  <si>
    <t>Client_343</t>
  </si>
  <si>
    <t>661</t>
  </si>
  <si>
    <t>Client_344</t>
  </si>
  <si>
    <t>49372</t>
  </si>
  <si>
    <t>33897</t>
  </si>
  <si>
    <t>Client_345</t>
  </si>
  <si>
    <t xml:space="preserve">49224 </t>
  </si>
  <si>
    <t>34373</t>
  </si>
  <si>
    <t>Client_346</t>
  </si>
  <si>
    <t>60150</t>
  </si>
  <si>
    <t>30246</t>
  </si>
  <si>
    <t>Client_347</t>
  </si>
  <si>
    <t>12195</t>
  </si>
  <si>
    <t>Client_348</t>
  </si>
  <si>
    <t>9901</t>
  </si>
  <si>
    <t>Client_349</t>
  </si>
  <si>
    <t xml:space="preserve">81740 </t>
  </si>
  <si>
    <t>608</t>
  </si>
  <si>
    <t>17803</t>
  </si>
  <si>
    <t>Client_350</t>
  </si>
  <si>
    <t>37143</t>
  </si>
  <si>
    <t>Client_351</t>
  </si>
  <si>
    <t>84972</t>
  </si>
  <si>
    <t>Client_352</t>
  </si>
  <si>
    <t>29700</t>
  </si>
  <si>
    <t>753</t>
  </si>
  <si>
    <t>Client_353</t>
  </si>
  <si>
    <t xml:space="preserve">46931 </t>
  </si>
  <si>
    <t>657</t>
  </si>
  <si>
    <t>Client_354</t>
  </si>
  <si>
    <t xml:space="preserve">20509 </t>
  </si>
  <si>
    <t>18130</t>
  </si>
  <si>
    <t>Client_355</t>
  </si>
  <si>
    <t>43204</t>
  </si>
  <si>
    <t>Client_356</t>
  </si>
  <si>
    <t xml:space="preserve">94757 </t>
  </si>
  <si>
    <t>639</t>
  </si>
  <si>
    <t>Client_357</t>
  </si>
  <si>
    <t xml:space="preserve">27367 </t>
  </si>
  <si>
    <t>29298</t>
  </si>
  <si>
    <t>Client_358</t>
  </si>
  <si>
    <t>30829</t>
  </si>
  <si>
    <t>Client_359</t>
  </si>
  <si>
    <t xml:space="preserve">55021 </t>
  </si>
  <si>
    <t>16965</t>
  </si>
  <si>
    <t>Client_360</t>
  </si>
  <si>
    <t>17350</t>
  </si>
  <si>
    <t>Client_361</t>
  </si>
  <si>
    <t>24630</t>
  </si>
  <si>
    <t>715</t>
  </si>
  <si>
    <t>47721</t>
  </si>
  <si>
    <t>Client_362</t>
  </si>
  <si>
    <t xml:space="preserve">64790 </t>
  </si>
  <si>
    <t>41808</t>
  </si>
  <si>
    <t>Client_363</t>
  </si>
  <si>
    <t>44709</t>
  </si>
  <si>
    <t>33785</t>
  </si>
  <si>
    <t>Client_364</t>
  </si>
  <si>
    <t xml:space="preserve">106286 </t>
  </si>
  <si>
    <t>Client_365</t>
  </si>
  <si>
    <t>40737</t>
  </si>
  <si>
    <t>Client_366</t>
  </si>
  <si>
    <t>111995</t>
  </si>
  <si>
    <t>Client_367</t>
  </si>
  <si>
    <t>35578</t>
  </si>
  <si>
    <t>32623</t>
  </si>
  <si>
    <t>Client_368</t>
  </si>
  <si>
    <t xml:space="preserve">29381 </t>
  </si>
  <si>
    <t>6259</t>
  </si>
  <si>
    <t>Client_369</t>
  </si>
  <si>
    <t xml:space="preserve">85442 </t>
  </si>
  <si>
    <t>30252</t>
  </si>
  <si>
    <t>Client_370</t>
  </si>
  <si>
    <t xml:space="preserve">33327 </t>
  </si>
  <si>
    <t>28417</t>
  </si>
  <si>
    <t>Client_371</t>
  </si>
  <si>
    <t>Client_372</t>
  </si>
  <si>
    <t>25753</t>
  </si>
  <si>
    <t>747</t>
  </si>
  <si>
    <t>31333</t>
  </si>
  <si>
    <t>Client_373</t>
  </si>
  <si>
    <t>44738</t>
  </si>
  <si>
    <t>8168</t>
  </si>
  <si>
    <t>Client_374</t>
  </si>
  <si>
    <t>Client_375</t>
  </si>
  <si>
    <t>106600</t>
  </si>
  <si>
    <t>Client_376</t>
  </si>
  <si>
    <t>Client_377</t>
  </si>
  <si>
    <t>50040</t>
  </si>
  <si>
    <t>743</t>
  </si>
  <si>
    <t>17991</t>
  </si>
  <si>
    <t>Client_378</t>
  </si>
  <si>
    <t>65163</t>
  </si>
  <si>
    <t>660</t>
  </si>
  <si>
    <t>Client_379</t>
  </si>
  <si>
    <t>104043</t>
  </si>
  <si>
    <t>9435</t>
  </si>
  <si>
    <t>Client_380</t>
  </si>
  <si>
    <t>107853</t>
  </si>
  <si>
    <t>Client_381</t>
  </si>
  <si>
    <t>617</t>
  </si>
  <si>
    <t>7363</t>
  </si>
  <si>
    <t>Client_382</t>
  </si>
  <si>
    <t>91666</t>
  </si>
  <si>
    <t>711</t>
  </si>
  <si>
    <t>Client_383</t>
  </si>
  <si>
    <t>Client_384</t>
  </si>
  <si>
    <t>71568</t>
  </si>
  <si>
    <t>640</t>
  </si>
  <si>
    <t>6489</t>
  </si>
  <si>
    <t>Client_385</t>
  </si>
  <si>
    <t xml:space="preserve">107909 </t>
  </si>
  <si>
    <t>28328</t>
  </si>
  <si>
    <t>Client_386</t>
  </si>
  <si>
    <t>742</t>
  </si>
  <si>
    <t>5161</t>
  </si>
  <si>
    <t>Client_387</t>
  </si>
  <si>
    <t>74899</t>
  </si>
  <si>
    <t>Client_388</t>
  </si>
  <si>
    <t xml:space="preserve">70212 </t>
  </si>
  <si>
    <t>6197</t>
  </si>
  <si>
    <t>Client_389</t>
  </si>
  <si>
    <t>67448</t>
  </si>
  <si>
    <t>Client_390</t>
  </si>
  <si>
    <t>107603</t>
  </si>
  <si>
    <t>Client_391</t>
  </si>
  <si>
    <t>89836</t>
  </si>
  <si>
    <t>Client_392</t>
  </si>
  <si>
    <t xml:space="preserve">47866 </t>
  </si>
  <si>
    <t>847</t>
  </si>
  <si>
    <t>Client_393</t>
  </si>
  <si>
    <t>26103</t>
  </si>
  <si>
    <t>Client_394</t>
  </si>
  <si>
    <t xml:space="preserve">97838 </t>
  </si>
  <si>
    <t>706</t>
  </si>
  <si>
    <t>28491</t>
  </si>
  <si>
    <t>Client_395</t>
  </si>
  <si>
    <t>Client_396</t>
  </si>
  <si>
    <t xml:space="preserve">19980 </t>
  </si>
  <si>
    <t>4563</t>
  </si>
  <si>
    <t>Client_397</t>
  </si>
  <si>
    <t>83434</t>
  </si>
  <si>
    <t>Client_398</t>
  </si>
  <si>
    <t>48473</t>
  </si>
  <si>
    <t>Client_399</t>
  </si>
  <si>
    <t xml:space="preserve">85720 </t>
  </si>
  <si>
    <t>44736</t>
  </si>
  <si>
    <t>Client_400</t>
  </si>
  <si>
    <t xml:space="preserve">70345 </t>
  </si>
  <si>
    <t>Client_401</t>
  </si>
  <si>
    <t>31683</t>
  </si>
  <si>
    <t>654</t>
  </si>
  <si>
    <t>Client_402</t>
  </si>
  <si>
    <t>30419</t>
  </si>
  <si>
    <t>5851</t>
  </si>
  <si>
    <t>Client_403</t>
  </si>
  <si>
    <t>Client_404</t>
  </si>
  <si>
    <t>12784</t>
  </si>
  <si>
    <t>Client_405</t>
  </si>
  <si>
    <t>Client_406</t>
  </si>
  <si>
    <t>Client_407</t>
  </si>
  <si>
    <t>648</t>
  </si>
  <si>
    <t>37836</t>
  </si>
  <si>
    <t>Client_408</t>
  </si>
  <si>
    <t>32212</t>
  </si>
  <si>
    <t>16809</t>
  </si>
  <si>
    <t>Client_409</t>
  </si>
  <si>
    <t xml:space="preserve">17633 </t>
  </si>
  <si>
    <t>21221</t>
  </si>
  <si>
    <t>Client_410</t>
  </si>
  <si>
    <t>Client_411</t>
  </si>
  <si>
    <t xml:space="preserve">20788 </t>
  </si>
  <si>
    <t>838</t>
  </si>
  <si>
    <t>23411</t>
  </si>
  <si>
    <t>Client_412</t>
  </si>
  <si>
    <t xml:space="preserve">57733 </t>
  </si>
  <si>
    <t>Client_413</t>
  </si>
  <si>
    <t>616</t>
  </si>
  <si>
    <t>19530</t>
  </si>
  <si>
    <t>Client_414</t>
  </si>
  <si>
    <t>27813</t>
  </si>
  <si>
    <t>Client_415</t>
  </si>
  <si>
    <t>95565</t>
  </si>
  <si>
    <t>Client_416</t>
  </si>
  <si>
    <t>28</t>
  </si>
  <si>
    <t>Client_417</t>
  </si>
  <si>
    <t>54334</t>
  </si>
  <si>
    <t>30923</t>
  </si>
  <si>
    <t>Client_418</t>
  </si>
  <si>
    <t>107044</t>
  </si>
  <si>
    <t>Client_419</t>
  </si>
  <si>
    <t xml:space="preserve">28437 </t>
  </si>
  <si>
    <t>695</t>
  </si>
  <si>
    <t>9891</t>
  </si>
  <si>
    <t>Client_420</t>
  </si>
  <si>
    <t>Client_421</t>
  </si>
  <si>
    <t>40821</t>
  </si>
  <si>
    <t>37590</t>
  </si>
  <si>
    <t>Client_422</t>
  </si>
  <si>
    <t xml:space="preserve">103456 </t>
  </si>
  <si>
    <t>40977</t>
  </si>
  <si>
    <t>Client_423</t>
  </si>
  <si>
    <t>45977</t>
  </si>
  <si>
    <t>Client_424</t>
  </si>
  <si>
    <t>Client_425</t>
  </si>
  <si>
    <t>54472</t>
  </si>
  <si>
    <t>Client_426</t>
  </si>
  <si>
    <t>Client_427</t>
  </si>
  <si>
    <t xml:space="preserve">102713 </t>
  </si>
  <si>
    <t>Client_428</t>
  </si>
  <si>
    <t>27077</t>
  </si>
  <si>
    <t>Client_429</t>
  </si>
  <si>
    <t xml:space="preserve">27834 </t>
  </si>
  <si>
    <t>Client_430</t>
  </si>
  <si>
    <t>12383</t>
  </si>
  <si>
    <t>Client_431</t>
  </si>
  <si>
    <t>31145</t>
  </si>
  <si>
    <t>Client_432</t>
  </si>
  <si>
    <t xml:space="preserve">26745 </t>
  </si>
  <si>
    <t>38334</t>
  </si>
  <si>
    <t>Client_433</t>
  </si>
  <si>
    <t>35</t>
  </si>
  <si>
    <t>92988</t>
  </si>
  <si>
    <t>611</t>
  </si>
  <si>
    <t>31424</t>
  </si>
  <si>
    <t>Client_434</t>
  </si>
  <si>
    <t>72145</t>
  </si>
  <si>
    <t>20419</t>
  </si>
  <si>
    <t>Client_435</t>
  </si>
  <si>
    <t xml:space="preserve">79432 </t>
  </si>
  <si>
    <t>25387</t>
  </si>
  <si>
    <t>Client_436</t>
  </si>
  <si>
    <t xml:space="preserve">111311 </t>
  </si>
  <si>
    <t>16407</t>
  </si>
  <si>
    <t>Client_437</t>
  </si>
  <si>
    <t xml:space="preserve">69809 </t>
  </si>
  <si>
    <t>775</t>
  </si>
  <si>
    <t>31816</t>
  </si>
  <si>
    <t>Client_438</t>
  </si>
  <si>
    <t>Client_439</t>
  </si>
  <si>
    <t>33548</t>
  </si>
  <si>
    <t>29574</t>
  </si>
  <si>
    <t>Client_440</t>
  </si>
  <si>
    <t>Client_441</t>
  </si>
  <si>
    <t xml:space="preserve">102610 </t>
  </si>
  <si>
    <t>772</t>
  </si>
  <si>
    <t>Client_442</t>
  </si>
  <si>
    <t xml:space="preserve">53615 </t>
  </si>
  <si>
    <t>Client_443</t>
  </si>
  <si>
    <t>26634</t>
  </si>
  <si>
    <t>22698</t>
  </si>
  <si>
    <t>Client_444</t>
  </si>
  <si>
    <t>27840</t>
  </si>
  <si>
    <t>Client_445</t>
  </si>
  <si>
    <t xml:space="preserve">60944 </t>
  </si>
  <si>
    <t>Client_446</t>
  </si>
  <si>
    <t>46855</t>
  </si>
  <si>
    <t>Client_447</t>
  </si>
  <si>
    <t>39347</t>
  </si>
  <si>
    <t>6620</t>
  </si>
  <si>
    <t>Client_448</t>
  </si>
  <si>
    <t xml:space="preserve">80777 </t>
  </si>
  <si>
    <t>Client_449</t>
  </si>
  <si>
    <t xml:space="preserve">99469 </t>
  </si>
  <si>
    <t>Client_450</t>
  </si>
  <si>
    <t>43474</t>
  </si>
  <si>
    <t>Client_451</t>
  </si>
  <si>
    <t>745</t>
  </si>
  <si>
    <t>25724</t>
  </si>
  <si>
    <t>Client_452</t>
  </si>
  <si>
    <t>Client_453</t>
  </si>
  <si>
    <t>11019</t>
  </si>
  <si>
    <t>Client_454</t>
  </si>
  <si>
    <t>30660</t>
  </si>
  <si>
    <t>Client_455</t>
  </si>
  <si>
    <t xml:space="preserve">108506 </t>
  </si>
  <si>
    <t>48771</t>
  </si>
  <si>
    <t>Client_456</t>
  </si>
  <si>
    <t xml:space="preserve">118568 </t>
  </si>
  <si>
    <t>Client_457</t>
  </si>
  <si>
    <t xml:space="preserve">35631 </t>
  </si>
  <si>
    <t>Client_458</t>
  </si>
  <si>
    <t>118903</t>
  </si>
  <si>
    <t>44920</t>
  </si>
  <si>
    <t>Client_459</t>
  </si>
  <si>
    <t>30353</t>
  </si>
  <si>
    <t>Client_460</t>
  </si>
  <si>
    <t>46281</t>
  </si>
  <si>
    <t>3490</t>
  </si>
  <si>
    <t>Client_461</t>
  </si>
  <si>
    <t>27843</t>
  </si>
  <si>
    <t>Client_462</t>
  </si>
  <si>
    <t>47416</t>
  </si>
  <si>
    <t>5506</t>
  </si>
  <si>
    <t>Client_463</t>
  </si>
  <si>
    <t xml:space="preserve">100748 </t>
  </si>
  <si>
    <t>Client_464</t>
  </si>
  <si>
    <t>87473</t>
  </si>
  <si>
    <t>40959</t>
  </si>
  <si>
    <t>Client_465</t>
  </si>
  <si>
    <t>Client_466</t>
  </si>
  <si>
    <t>105478</t>
  </si>
  <si>
    <t>12598</t>
  </si>
  <si>
    <t>Client_467</t>
  </si>
  <si>
    <t xml:space="preserve">97217 </t>
  </si>
  <si>
    <t>35975</t>
  </si>
  <si>
    <t>Client_468</t>
  </si>
  <si>
    <t>Client_469</t>
  </si>
  <si>
    <t>91697</t>
  </si>
  <si>
    <t>Client_470</t>
  </si>
  <si>
    <t xml:space="preserve">83415 </t>
  </si>
  <si>
    <t>4982</t>
  </si>
  <si>
    <t>Client_471</t>
  </si>
  <si>
    <t>39106</t>
  </si>
  <si>
    <t>Client_472</t>
  </si>
  <si>
    <t xml:space="preserve">50831 </t>
  </si>
  <si>
    <t>613</t>
  </si>
  <si>
    <t>Client_473</t>
  </si>
  <si>
    <t>24696</t>
  </si>
  <si>
    <t>Client_474</t>
  </si>
  <si>
    <t>25045</t>
  </si>
  <si>
    <t>Client_475</t>
  </si>
  <si>
    <t>41451</t>
  </si>
  <si>
    <t>25930</t>
  </si>
  <si>
    <t>Client_476</t>
  </si>
  <si>
    <t xml:space="preserve">91324 </t>
  </si>
  <si>
    <t>Client_477</t>
  </si>
  <si>
    <t>118873</t>
  </si>
  <si>
    <t>Client_478</t>
  </si>
  <si>
    <t>81354</t>
  </si>
  <si>
    <t>5363</t>
  </si>
  <si>
    <t>Client_479</t>
  </si>
  <si>
    <t>Client_480</t>
  </si>
  <si>
    <t>49159</t>
  </si>
  <si>
    <t>45403</t>
  </si>
  <si>
    <t>Client_481</t>
  </si>
  <si>
    <t>Client_482</t>
  </si>
  <si>
    <t>108744</t>
  </si>
  <si>
    <t>829</t>
  </si>
  <si>
    <t>Client_483</t>
  </si>
  <si>
    <t>98899</t>
  </si>
  <si>
    <t>Client_484</t>
  </si>
  <si>
    <t>Client_485</t>
  </si>
  <si>
    <t xml:space="preserve">27177 </t>
  </si>
  <si>
    <t>Client_486</t>
  </si>
  <si>
    <t>48114</t>
  </si>
  <si>
    <t>Client_487</t>
  </si>
  <si>
    <t>Client_488</t>
  </si>
  <si>
    <t xml:space="preserve">104062 </t>
  </si>
  <si>
    <t>Client_489</t>
  </si>
  <si>
    <t xml:space="preserve">50776 </t>
  </si>
  <si>
    <t>48696</t>
  </si>
  <si>
    <t>Client_490</t>
  </si>
  <si>
    <t>Client_491</t>
  </si>
  <si>
    <t>34</t>
  </si>
  <si>
    <t xml:space="preserve">73168 </t>
  </si>
  <si>
    <t>37112</t>
  </si>
  <si>
    <t>Client_492</t>
  </si>
  <si>
    <t>49471</t>
  </si>
  <si>
    <t>Client_493</t>
  </si>
  <si>
    <t>62368</t>
  </si>
  <si>
    <t>Client_494</t>
  </si>
  <si>
    <t>16485</t>
  </si>
  <si>
    <t>Client_495</t>
  </si>
  <si>
    <t xml:space="preserve">41177 </t>
  </si>
  <si>
    <t>37782</t>
  </si>
  <si>
    <t>Client_496</t>
  </si>
  <si>
    <t xml:space="preserve">39360 </t>
  </si>
  <si>
    <t>27559</t>
  </si>
  <si>
    <t>Client_497</t>
  </si>
  <si>
    <t>101322</t>
  </si>
  <si>
    <t>42475</t>
  </si>
  <si>
    <t>Client_498</t>
  </si>
  <si>
    <t>37740</t>
  </si>
  <si>
    <t>Client_499</t>
  </si>
  <si>
    <t xml:space="preserve">112215 </t>
  </si>
  <si>
    <t>Client_500</t>
  </si>
  <si>
    <t>112592</t>
  </si>
  <si>
    <t>698</t>
  </si>
  <si>
    <t>CLIENT_1</t>
  </si>
  <si>
    <t>CLIENT_2</t>
  </si>
  <si>
    <t>CLIENT_3</t>
  </si>
  <si>
    <t>CLIENT_4</t>
  </si>
  <si>
    <t>CLIENT_5</t>
  </si>
  <si>
    <t>CLIENT_6</t>
  </si>
  <si>
    <t>CLIENT_7</t>
  </si>
  <si>
    <t>CLIENT_8</t>
  </si>
  <si>
    <t>CLIENT_9</t>
  </si>
  <si>
    <t>CLIENT_10</t>
  </si>
  <si>
    <t>CLIENT_11</t>
  </si>
  <si>
    <t>CLIENT_12</t>
  </si>
  <si>
    <t>CLIENT_13</t>
  </si>
  <si>
    <t>CLIENT_14</t>
  </si>
  <si>
    <t>CLIENT_15</t>
  </si>
  <si>
    <t>CLIENT_16</t>
  </si>
  <si>
    <t>CLIENT_17</t>
  </si>
  <si>
    <t>CLIENT_18</t>
  </si>
  <si>
    <t>CLIENT_19</t>
  </si>
  <si>
    <t>CLIENT_20</t>
  </si>
  <si>
    <t>CLIENT_21</t>
  </si>
  <si>
    <t>CLIENT_22</t>
  </si>
  <si>
    <t>CLIENT_23</t>
  </si>
  <si>
    <t>CLIENT_24</t>
  </si>
  <si>
    <t>CLIENT_25</t>
  </si>
  <si>
    <t>CLIENT_26</t>
  </si>
  <si>
    <t>CLIENT_27</t>
  </si>
  <si>
    <t>CLIENT_28</t>
  </si>
  <si>
    <t>CLIENT_29</t>
  </si>
  <si>
    <t>CLIENT_30</t>
  </si>
  <si>
    <t>CLIENT_31</t>
  </si>
  <si>
    <t>CLIENT_32</t>
  </si>
  <si>
    <t>CLIENT_33</t>
  </si>
  <si>
    <t>CLIENT_34</t>
  </si>
  <si>
    <t>CLIENT_35</t>
  </si>
  <si>
    <t>CLIENT_36</t>
  </si>
  <si>
    <t>CLIENT_37</t>
  </si>
  <si>
    <t>CLIENT_38</t>
  </si>
  <si>
    <t>CLIENT_39</t>
  </si>
  <si>
    <t>CLIENT_40</t>
  </si>
  <si>
    <t>CLIENT_41</t>
  </si>
  <si>
    <t>CLIENT_42</t>
  </si>
  <si>
    <t>CLIENT_43</t>
  </si>
  <si>
    <t>CLIENT_44</t>
  </si>
  <si>
    <t>CLIENT_45</t>
  </si>
  <si>
    <t>CLIENT_46</t>
  </si>
  <si>
    <t>CLIENT_47</t>
  </si>
  <si>
    <t>CLIENT_48</t>
  </si>
  <si>
    <t>CLIENT_49</t>
  </si>
  <si>
    <t>CLIENT_50</t>
  </si>
  <si>
    <t>CLIENT_51</t>
  </si>
  <si>
    <t>CLIENT_52</t>
  </si>
  <si>
    <t>CLIENT_53</t>
  </si>
  <si>
    <t>CLIENT_54</t>
  </si>
  <si>
    <t>CLIENT_55</t>
  </si>
  <si>
    <t>CLIENT_56</t>
  </si>
  <si>
    <t>CLIENT_57</t>
  </si>
  <si>
    <t>CLIENT_58</t>
  </si>
  <si>
    <t>CLIENT_59</t>
  </si>
  <si>
    <t>CLIENT_60</t>
  </si>
  <si>
    <t>CLIENT_61</t>
  </si>
  <si>
    <t>CLIENT_62</t>
  </si>
  <si>
    <t>CLIENT_63</t>
  </si>
  <si>
    <t>CLIENT_64</t>
  </si>
  <si>
    <t>CLIENT_65</t>
  </si>
  <si>
    <t>CLIENT_66</t>
  </si>
  <si>
    <t>CLIENT_67</t>
  </si>
  <si>
    <t>CLIENT_68</t>
  </si>
  <si>
    <t>CLIENT_69</t>
  </si>
  <si>
    <t>CLIENT_70</t>
  </si>
  <si>
    <t>CLIENT_71</t>
  </si>
  <si>
    <t>CLIENT_72</t>
  </si>
  <si>
    <t>CLIENT_73</t>
  </si>
  <si>
    <t>CLIENT_74</t>
  </si>
  <si>
    <t>CLIENT_75</t>
  </si>
  <si>
    <t>CLIENT_76</t>
  </si>
  <si>
    <t>CLIENT_77</t>
  </si>
  <si>
    <t>CLIENT_78</t>
  </si>
  <si>
    <t>CLIENT_79</t>
  </si>
  <si>
    <t>CLIENT_80</t>
  </si>
  <si>
    <t>CLIENT_81</t>
  </si>
  <si>
    <t>CLIENT_82</t>
  </si>
  <si>
    <t>CLIENT_83</t>
  </si>
  <si>
    <t>CLIENT_84</t>
  </si>
  <si>
    <t>CLIENT_85</t>
  </si>
  <si>
    <t>CLIENT_86</t>
  </si>
  <si>
    <t>CLIENT_87</t>
  </si>
  <si>
    <t>CLIENT_88</t>
  </si>
  <si>
    <t>CLIENT_89</t>
  </si>
  <si>
    <t>CLIENT_90</t>
  </si>
  <si>
    <t>CLIENT_91</t>
  </si>
  <si>
    <t>CLIENT_92</t>
  </si>
  <si>
    <t>CLIENT_93</t>
  </si>
  <si>
    <t>CLIENT_94</t>
  </si>
  <si>
    <t>CLIENT_95</t>
  </si>
  <si>
    <t>CLIENT_96</t>
  </si>
  <si>
    <t>CLIENT_97</t>
  </si>
  <si>
    <t>CLIENT_98</t>
  </si>
  <si>
    <t>CLIENT_99</t>
  </si>
  <si>
    <t>CLIENT_100</t>
  </si>
  <si>
    <t>CLIENT_101</t>
  </si>
  <si>
    <t>CLIENT_102</t>
  </si>
  <si>
    <t>CLIENT_103</t>
  </si>
  <si>
    <t>CLIENT_104</t>
  </si>
  <si>
    <t>CLIENT_105</t>
  </si>
  <si>
    <t>CLIENT_106</t>
  </si>
  <si>
    <t>CLIENT_107</t>
  </si>
  <si>
    <t>CLIENT_108</t>
  </si>
  <si>
    <t>CLIENT_109</t>
  </si>
  <si>
    <t>CLIENT_110</t>
  </si>
  <si>
    <t>CLIENT_111</t>
  </si>
  <si>
    <t>CLIENT_112</t>
  </si>
  <si>
    <t>CLIENT_113</t>
  </si>
  <si>
    <t>CLIENT_114</t>
  </si>
  <si>
    <t>CLIENT_115</t>
  </si>
  <si>
    <t>CLIENT_116</t>
  </si>
  <si>
    <t>CLIENT_117</t>
  </si>
  <si>
    <t>CLIENT_118</t>
  </si>
  <si>
    <t>CLIENT_119</t>
  </si>
  <si>
    <t>CLIENT_120</t>
  </si>
  <si>
    <t>CLIENT_121</t>
  </si>
  <si>
    <t>CLIENT_122</t>
  </si>
  <si>
    <t>CLIENT_123</t>
  </si>
  <si>
    <t>CLIENT_124</t>
  </si>
  <si>
    <t>CLIENT_125</t>
  </si>
  <si>
    <t>CLIENT_126</t>
  </si>
  <si>
    <t>CLIENT_127</t>
  </si>
  <si>
    <t>CLIENT_128</t>
  </si>
  <si>
    <t>CLIENT_129</t>
  </si>
  <si>
    <t>CLIENT_130</t>
  </si>
  <si>
    <t>CLIENT_131</t>
  </si>
  <si>
    <t>CLIENT_132</t>
  </si>
  <si>
    <t>CLIENT_133</t>
  </si>
  <si>
    <t>CLIENT_134</t>
  </si>
  <si>
    <t>CLIENT_135</t>
  </si>
  <si>
    <t>CLIENT_136</t>
  </si>
  <si>
    <t>CLIENT_137</t>
  </si>
  <si>
    <t>CLIENT_138</t>
  </si>
  <si>
    <t>CLIENT_139</t>
  </si>
  <si>
    <t>CLIENT_140</t>
  </si>
  <si>
    <t>CLIENT_141</t>
  </si>
  <si>
    <t>CLIENT_142</t>
  </si>
  <si>
    <t>CLIENT_143</t>
  </si>
  <si>
    <t>CLIENT_144</t>
  </si>
  <si>
    <t>CLIENT_145</t>
  </si>
  <si>
    <t>CLIENT_146</t>
  </si>
  <si>
    <t>CLIENT_147</t>
  </si>
  <si>
    <t>CLIENT_148</t>
  </si>
  <si>
    <t>CLIENT_149</t>
  </si>
  <si>
    <t>CLIENT_150</t>
  </si>
  <si>
    <t>CLIENT_151</t>
  </si>
  <si>
    <t>CLIENT_152</t>
  </si>
  <si>
    <t>CLIENT_153</t>
  </si>
  <si>
    <t>CLIENT_154</t>
  </si>
  <si>
    <t>CLIENT_155</t>
  </si>
  <si>
    <t>CLIENT_156</t>
  </si>
  <si>
    <t>CLIENT_157</t>
  </si>
  <si>
    <t>CLIENT_158</t>
  </si>
  <si>
    <t>CLIENT_159</t>
  </si>
  <si>
    <t>CLIENT_160</t>
  </si>
  <si>
    <t>CLIENT_161</t>
  </si>
  <si>
    <t>CLIENT_162</t>
  </si>
  <si>
    <t>CLIENT_163</t>
  </si>
  <si>
    <t>CLIENT_164</t>
  </si>
  <si>
    <t>CLIENT_165</t>
  </si>
  <si>
    <t>CLIENT_166</t>
  </si>
  <si>
    <t>CLIENT_167</t>
  </si>
  <si>
    <t>CLIENT_168</t>
  </si>
  <si>
    <t>CLIENT_169</t>
  </si>
  <si>
    <t>CLIENT_170</t>
  </si>
  <si>
    <t>CLIENT_171</t>
  </si>
  <si>
    <t>CLIENT_172</t>
  </si>
  <si>
    <t>CLIENT_173</t>
  </si>
  <si>
    <t>CLIENT_174</t>
  </si>
  <si>
    <t>CLIENT_175</t>
  </si>
  <si>
    <t>CLIENT_176</t>
  </si>
  <si>
    <t>CLIENT_177</t>
  </si>
  <si>
    <t>CLIENT_178</t>
  </si>
  <si>
    <t>CLIENT_179</t>
  </si>
  <si>
    <t>CLIENT_180</t>
  </si>
  <si>
    <t>CLIENT_181</t>
  </si>
  <si>
    <t>CLIENT_182</t>
  </si>
  <si>
    <t>CLIENT_183</t>
  </si>
  <si>
    <t>CLIENT_184</t>
  </si>
  <si>
    <t>CLIENT_185</t>
  </si>
  <si>
    <t>CLIENT_186</t>
  </si>
  <si>
    <t>CLIENT_187</t>
  </si>
  <si>
    <t>CLIENT_188</t>
  </si>
  <si>
    <t>CLIENT_189</t>
  </si>
  <si>
    <t>CLIENT_190</t>
  </si>
  <si>
    <t>CLIENT_191</t>
  </si>
  <si>
    <t>CLIENT_192</t>
  </si>
  <si>
    <t>CLIENT_193</t>
  </si>
  <si>
    <t>CLIENT_194</t>
  </si>
  <si>
    <t>CLIENT_195</t>
  </si>
  <si>
    <t>CLIENT_196</t>
  </si>
  <si>
    <t>CLIENT_197</t>
  </si>
  <si>
    <t>CLIENT_198</t>
  </si>
  <si>
    <t>CLIENT_199</t>
  </si>
  <si>
    <t>CLIENT_200</t>
  </si>
  <si>
    <t>CLIENT_201</t>
  </si>
  <si>
    <t>CLIENT_202</t>
  </si>
  <si>
    <t>CLIENT_203</t>
  </si>
  <si>
    <t>CLIENT_204</t>
  </si>
  <si>
    <t>CLIENT_205</t>
  </si>
  <si>
    <t>CLIENT_206</t>
  </si>
  <si>
    <t>CLIENT_207</t>
  </si>
  <si>
    <t>CLIENT_208</t>
  </si>
  <si>
    <t>CLIENT_209</t>
  </si>
  <si>
    <t>CLIENT_210</t>
  </si>
  <si>
    <t>CLIENT_211</t>
  </si>
  <si>
    <t>CLIENT_212</t>
  </si>
  <si>
    <t>CLIENT_213</t>
  </si>
  <si>
    <t>CLIENT_214</t>
  </si>
  <si>
    <t>CLIENT_215</t>
  </si>
  <si>
    <t>CLIENT_216</t>
  </si>
  <si>
    <t>CLIENT_217</t>
  </si>
  <si>
    <t>CLIENT_218</t>
  </si>
  <si>
    <t>CLIENT_219</t>
  </si>
  <si>
    <t>CLIENT_220</t>
  </si>
  <si>
    <t>CLIENT_221</t>
  </si>
  <si>
    <t>CLIENT_222</t>
  </si>
  <si>
    <t>CLIENT_223</t>
  </si>
  <si>
    <t>CLIENT_224</t>
  </si>
  <si>
    <t>CLIENT_225</t>
  </si>
  <si>
    <t>CLIENT_226</t>
  </si>
  <si>
    <t>CLIENT_227</t>
  </si>
  <si>
    <t>CLIENT_228</t>
  </si>
  <si>
    <t>CLIENT_229</t>
  </si>
  <si>
    <t>CLIENT_230</t>
  </si>
  <si>
    <t>CLIENT_231</t>
  </si>
  <si>
    <t>CLIENT_232</t>
  </si>
  <si>
    <t>CLIENT_233</t>
  </si>
  <si>
    <t>CLIENT_234</t>
  </si>
  <si>
    <t>CLIENT_235</t>
  </si>
  <si>
    <t>CLIENT_236</t>
  </si>
  <si>
    <t>CLIENT_237</t>
  </si>
  <si>
    <t>CLIENT_238</t>
  </si>
  <si>
    <t>CLIENT_239</t>
  </si>
  <si>
    <t>CLIENT_240</t>
  </si>
  <si>
    <t>CLIENT_241</t>
  </si>
  <si>
    <t>CLIENT_242</t>
  </si>
  <si>
    <t>CLIENT_243</t>
  </si>
  <si>
    <t>CLIENT_244</t>
  </si>
  <si>
    <t>CLIENT_245</t>
  </si>
  <si>
    <t>CLIENT_246</t>
  </si>
  <si>
    <t>CLIENT_247</t>
  </si>
  <si>
    <t>CLIENT_248</t>
  </si>
  <si>
    <t>CLIENT_249</t>
  </si>
  <si>
    <t>CLIENT_250</t>
  </si>
  <si>
    <t>CLIENT_251</t>
  </si>
  <si>
    <t>CLIENT_252</t>
  </si>
  <si>
    <t>CLIENT_253</t>
  </si>
  <si>
    <t>CLIENT_254</t>
  </si>
  <si>
    <t>CLIENT_255</t>
  </si>
  <si>
    <t>CLIENT_256</t>
  </si>
  <si>
    <t>CLIENT_257</t>
  </si>
  <si>
    <t>CLIENT_258</t>
  </si>
  <si>
    <t>CLIENT_259</t>
  </si>
  <si>
    <t>CLIENT_260</t>
  </si>
  <si>
    <t>CLIENT_261</t>
  </si>
  <si>
    <t>CLIENT_262</t>
  </si>
  <si>
    <t>CLIENT_263</t>
  </si>
  <si>
    <t>CLIENT_264</t>
  </si>
  <si>
    <t>CLIENT_265</t>
  </si>
  <si>
    <t>CLIENT_266</t>
  </si>
  <si>
    <t>CLIENT_267</t>
  </si>
  <si>
    <t>CLIENT_268</t>
  </si>
  <si>
    <t>CLIENT_269</t>
  </si>
  <si>
    <t>CLIENT_270</t>
  </si>
  <si>
    <t>CLIENT_271</t>
  </si>
  <si>
    <t>CLIENT_272</t>
  </si>
  <si>
    <t>CLIENT_273</t>
  </si>
  <si>
    <t>CLIENT_274</t>
  </si>
  <si>
    <t>CLIENT_275</t>
  </si>
  <si>
    <t>CLIENT_276</t>
  </si>
  <si>
    <t>CLIENT_277</t>
  </si>
  <si>
    <t>CLIENT_278</t>
  </si>
  <si>
    <t>CLIENT_279</t>
  </si>
  <si>
    <t>CLIENT_280</t>
  </si>
  <si>
    <t>CLIENT_281</t>
  </si>
  <si>
    <t>CLIENT_282</t>
  </si>
  <si>
    <t>CLIENT_283</t>
  </si>
  <si>
    <t>CLIENT_284</t>
  </si>
  <si>
    <t>CLIENT_285</t>
  </si>
  <si>
    <t>CLIENT_286</t>
  </si>
  <si>
    <t>CLIENT_287</t>
  </si>
  <si>
    <t>CLIENT_288</t>
  </si>
  <si>
    <t>CLIENT_289</t>
  </si>
  <si>
    <t>CLIENT_290</t>
  </si>
  <si>
    <t>CLIENT_291</t>
  </si>
  <si>
    <t>CLIENT_292</t>
  </si>
  <si>
    <t>CLIENT_293</t>
  </si>
  <si>
    <t>CLIENT_294</t>
  </si>
  <si>
    <t>CLIENT_295</t>
  </si>
  <si>
    <t>CLIENT_296</t>
  </si>
  <si>
    <t>CLIENT_297</t>
  </si>
  <si>
    <t>CLIENT_298</t>
  </si>
  <si>
    <t>CLIENT_299</t>
  </si>
  <si>
    <t>CLIENT_300</t>
  </si>
  <si>
    <t>CLIENT_301</t>
  </si>
  <si>
    <t>CLIENT_302</t>
  </si>
  <si>
    <t>CLIENT_303</t>
  </si>
  <si>
    <t>CLIENT_304</t>
  </si>
  <si>
    <t>CLIENT_305</t>
  </si>
  <si>
    <t>CLIENT_306</t>
  </si>
  <si>
    <t>CLIENT_307</t>
  </si>
  <si>
    <t>CLIENT_308</t>
  </si>
  <si>
    <t>CLIENT_309</t>
  </si>
  <si>
    <t>CLIENT_310</t>
  </si>
  <si>
    <t>CLIENT_311</t>
  </si>
  <si>
    <t>CLIENT_312</t>
  </si>
  <si>
    <t>CLIENT_313</t>
  </si>
  <si>
    <t>CLIENT_314</t>
  </si>
  <si>
    <t>CLIENT_315</t>
  </si>
  <si>
    <t>CLIENT_316</t>
  </si>
  <si>
    <t>CLIENT_317</t>
  </si>
  <si>
    <t>CLIENT_318</t>
  </si>
  <si>
    <t>CLIENT_319</t>
  </si>
  <si>
    <t>CLIENT_320</t>
  </si>
  <si>
    <t>CLIENT_321</t>
  </si>
  <si>
    <t>CLIENT_322</t>
  </si>
  <si>
    <t>CLIENT_323</t>
  </si>
  <si>
    <t>CLIENT_324</t>
  </si>
  <si>
    <t>CLIENT_325</t>
  </si>
  <si>
    <t>CLIENT_326</t>
  </si>
  <si>
    <t>CLIENT_327</t>
  </si>
  <si>
    <t>CLIENT_328</t>
  </si>
  <si>
    <t>CLIENT_329</t>
  </si>
  <si>
    <t>CLIENT_330</t>
  </si>
  <si>
    <t>CLIENT_331</t>
  </si>
  <si>
    <t>CLIENT_332</t>
  </si>
  <si>
    <t>CLIENT_333</t>
  </si>
  <si>
    <t>CLIENT_334</t>
  </si>
  <si>
    <t>CLIENT_335</t>
  </si>
  <si>
    <t>CLIENT_336</t>
  </si>
  <si>
    <t>CLIENT_337</t>
  </si>
  <si>
    <t>CLIENT_338</t>
  </si>
  <si>
    <t>CLIENT_339</t>
  </si>
  <si>
    <t>CLIENT_340</t>
  </si>
  <si>
    <t>CLIENT_341</t>
  </si>
  <si>
    <t>CLIENT_342</t>
  </si>
  <si>
    <t>CLIENT_343</t>
  </si>
  <si>
    <t>CLIENT_344</t>
  </si>
  <si>
    <t>CLIENT_345</t>
  </si>
  <si>
    <t>CLIENT_346</t>
  </si>
  <si>
    <t>CLIENT_347</t>
  </si>
  <si>
    <t>CLIENT_348</t>
  </si>
  <si>
    <t>CLIENT_349</t>
  </si>
  <si>
    <t>CLIENT_350</t>
  </si>
  <si>
    <t>CLIENT_351</t>
  </si>
  <si>
    <t>CLIENT_352</t>
  </si>
  <si>
    <t>CLIENT_353</t>
  </si>
  <si>
    <t>CLIENT_354</t>
  </si>
  <si>
    <t>CLIENT_355</t>
  </si>
  <si>
    <t>CLIENT_356</t>
  </si>
  <si>
    <t>CLIENT_357</t>
  </si>
  <si>
    <t>CLIENT_358</t>
  </si>
  <si>
    <t>CLIENT_359</t>
  </si>
  <si>
    <t>CLIENT_360</t>
  </si>
  <si>
    <t>CLIENT_361</t>
  </si>
  <si>
    <t>CLIENT_362</t>
  </si>
  <si>
    <t>CLIENT_363</t>
  </si>
  <si>
    <t>CLIENT_364</t>
  </si>
  <si>
    <t>CLIENT_365</t>
  </si>
  <si>
    <t>CLIENT_366</t>
  </si>
  <si>
    <t>CLIENT_367</t>
  </si>
  <si>
    <t>CLIENT_368</t>
  </si>
  <si>
    <t>CLIENT_369</t>
  </si>
  <si>
    <t>CLIENT_370</t>
  </si>
  <si>
    <t>CLIENT_371</t>
  </si>
  <si>
    <t>CLIENT_372</t>
  </si>
  <si>
    <t>CLIENT_373</t>
  </si>
  <si>
    <t>CLIENT_374</t>
  </si>
  <si>
    <t>CLIENT_375</t>
  </si>
  <si>
    <t>CLIENT_376</t>
  </si>
  <si>
    <t>CLIENT_377</t>
  </si>
  <si>
    <t>CLIENT_378</t>
  </si>
  <si>
    <t>CLIENT_379</t>
  </si>
  <si>
    <t>CLIENT_380</t>
  </si>
  <si>
    <t>CLIENT_381</t>
  </si>
  <si>
    <t>CLIENT_382</t>
  </si>
  <si>
    <t>CLIENT_383</t>
  </si>
  <si>
    <t>CLIENT_384</t>
  </si>
  <si>
    <t>CLIENT_385</t>
  </si>
  <si>
    <t>CLIENT_386</t>
  </si>
  <si>
    <t>CLIENT_387</t>
  </si>
  <si>
    <t>CLIENT_388</t>
  </si>
  <si>
    <t>CLIENT_389</t>
  </si>
  <si>
    <t>CLIENT_390</t>
  </si>
  <si>
    <t>CLIENT_391</t>
  </si>
  <si>
    <t>CLIENT_392</t>
  </si>
  <si>
    <t>CLIENT_393</t>
  </si>
  <si>
    <t>CLIENT_394</t>
  </si>
  <si>
    <t>CLIENT_395</t>
  </si>
  <si>
    <t>CLIENT_396</t>
  </si>
  <si>
    <t>CLIENT_397</t>
  </si>
  <si>
    <t>CLIENT_398</t>
  </si>
  <si>
    <t>CLIENT_399</t>
  </si>
  <si>
    <t>CLIENT_400</t>
  </si>
  <si>
    <t>CLIENT_401</t>
  </si>
  <si>
    <t>CLIENT_402</t>
  </si>
  <si>
    <t>CLIENT_403</t>
  </si>
  <si>
    <t>CLIENT_404</t>
  </si>
  <si>
    <t>CLIENT_405</t>
  </si>
  <si>
    <t>CLIENT_406</t>
  </si>
  <si>
    <t>CLIENT_407</t>
  </si>
  <si>
    <t>CLIENT_408</t>
  </si>
  <si>
    <t>CLIENT_409</t>
  </si>
  <si>
    <t>CLIENT_410</t>
  </si>
  <si>
    <t>CLIENT_411</t>
  </si>
  <si>
    <t>CLIENT_412</t>
  </si>
  <si>
    <t>CLIENT_413</t>
  </si>
  <si>
    <t>CLIENT_414</t>
  </si>
  <si>
    <t>CLIENT_415</t>
  </si>
  <si>
    <t>CLIENT_416</t>
  </si>
  <si>
    <t>CLIENT_417</t>
  </si>
  <si>
    <t>CLIENT_418</t>
  </si>
  <si>
    <t>CLIENT_419</t>
  </si>
  <si>
    <t>CLIENT_420</t>
  </si>
  <si>
    <t>CLIENT_421</t>
  </si>
  <si>
    <t>CLIENT_422</t>
  </si>
  <si>
    <t>CLIENT_423</t>
  </si>
  <si>
    <t>CLIENT_424</t>
  </si>
  <si>
    <t>CLIENT_425</t>
  </si>
  <si>
    <t>CLIENT_426</t>
  </si>
  <si>
    <t>CLIENT_427</t>
  </si>
  <si>
    <t>CLIENT_428</t>
  </si>
  <si>
    <t>CLIENT_429</t>
  </si>
  <si>
    <t>CLIENT_430</t>
  </si>
  <si>
    <t>CLIENT_431</t>
  </si>
  <si>
    <t>CLIENT_432</t>
  </si>
  <si>
    <t>CLIENT_433</t>
  </si>
  <si>
    <t>CLIENT_434</t>
  </si>
  <si>
    <t>CLIENT_435</t>
  </si>
  <si>
    <t>CLIENT_436</t>
  </si>
  <si>
    <t>CLIENT_437</t>
  </si>
  <si>
    <t>CLIENT_438</t>
  </si>
  <si>
    <t>CLIENT_439</t>
  </si>
  <si>
    <t>CLIENT_440</t>
  </si>
  <si>
    <t>CLIENT_441</t>
  </si>
  <si>
    <t>CLIENT_442</t>
  </si>
  <si>
    <t>CLIENT_443</t>
  </si>
  <si>
    <t>CLIENT_444</t>
  </si>
  <si>
    <t>CLIENT_445</t>
  </si>
  <si>
    <t>CLIENT_446</t>
  </si>
  <si>
    <t>CLIENT_447</t>
  </si>
  <si>
    <t>CLIENT_448</t>
  </si>
  <si>
    <t>CLIENT_449</t>
  </si>
  <si>
    <t>CLIENT_450</t>
  </si>
  <si>
    <t>CLIENT_451</t>
  </si>
  <si>
    <t>CLIENT_452</t>
  </si>
  <si>
    <t>CLIENT_453</t>
  </si>
  <si>
    <t>CLIENT_454</t>
  </si>
  <si>
    <t>CLIENT_455</t>
  </si>
  <si>
    <t>CLIENT_456</t>
  </si>
  <si>
    <t>CLIENT_457</t>
  </si>
  <si>
    <t>CLIENT_458</t>
  </si>
  <si>
    <t>CLIENT_459</t>
  </si>
  <si>
    <t>CLIENT_460</t>
  </si>
  <si>
    <t>CLIENT_461</t>
  </si>
  <si>
    <t>CLIENT_462</t>
  </si>
  <si>
    <t>CLIENT_463</t>
  </si>
  <si>
    <t>CLIENT_464</t>
  </si>
  <si>
    <t>CLIENT_465</t>
  </si>
  <si>
    <t>CLIENT_466</t>
  </si>
  <si>
    <t>CLIENT_467</t>
  </si>
  <si>
    <t>CLIENT_468</t>
  </si>
  <si>
    <t>CLIENT_469</t>
  </si>
  <si>
    <t>CLIENT_470</t>
  </si>
  <si>
    <t>CLIENT_471</t>
  </si>
  <si>
    <t>CLIENT_472</t>
  </si>
  <si>
    <t>CLIENT_473</t>
  </si>
  <si>
    <t>CLIENT_474</t>
  </si>
  <si>
    <t>CLIENT_475</t>
  </si>
  <si>
    <t>CLIENT_476</t>
  </si>
  <si>
    <t>CLIENT_477</t>
  </si>
  <si>
    <t>CLIENT_478</t>
  </si>
  <si>
    <t>CLIENT_479</t>
  </si>
  <si>
    <t>CLIENT_480</t>
  </si>
  <si>
    <t>CLIENT_481</t>
  </si>
  <si>
    <t>CLIENT_482</t>
  </si>
  <si>
    <t>CLIENT_483</t>
  </si>
  <si>
    <t>CLIENT_484</t>
  </si>
  <si>
    <t>CLIENT_485</t>
  </si>
  <si>
    <t>CLIENT_486</t>
  </si>
  <si>
    <t>CLIENT_487</t>
  </si>
  <si>
    <t>CLIENT_488</t>
  </si>
  <si>
    <t>CLIENT_489</t>
  </si>
  <si>
    <t>CLIENT_490</t>
  </si>
  <si>
    <t>CLIENT_491</t>
  </si>
  <si>
    <t>CLIENT_492</t>
  </si>
  <si>
    <t>CLIENT_493</t>
  </si>
  <si>
    <t>CLIENT_494</t>
  </si>
  <si>
    <t>CLIENT_495</t>
  </si>
  <si>
    <t>CLIENT_496</t>
  </si>
  <si>
    <t>CLIENT_497</t>
  </si>
  <si>
    <t>CLIENT_498</t>
  </si>
  <si>
    <t>CLIENT_499</t>
  </si>
  <si>
    <t>CLIENT_500</t>
  </si>
  <si>
    <t>Decision</t>
  </si>
  <si>
    <t>Revision</t>
  </si>
  <si>
    <t>Refused</t>
  </si>
  <si>
    <t>Approved</t>
  </si>
  <si>
    <t>Grand Total</t>
  </si>
  <si>
    <t>KPIs</t>
  </si>
  <si>
    <t>DTI Ratio</t>
  </si>
  <si>
    <t>Sum of Loan_Amount</t>
  </si>
  <si>
    <t>% of Decision</t>
  </si>
  <si>
    <t>Total applications</t>
  </si>
  <si>
    <t>Average of DTI Ratio</t>
  </si>
  <si>
    <t>Count of ID</t>
  </si>
  <si>
    <t>Rule_Flag</t>
  </si>
  <si>
    <t>Age Rule</t>
  </si>
  <si>
    <t>Strong Credit Profile Rule</t>
  </si>
  <si>
    <t>Other Risk Factors</t>
  </si>
  <si>
    <t xml:space="preserve">  Client_1 </t>
  </si>
  <si>
    <t/>
  </si>
  <si>
    <t>cLiEnT_2</t>
  </si>
  <si>
    <t xml:space="preserve">  Client_3 </t>
  </si>
  <si>
    <t>cLiEnT_4</t>
  </si>
  <si>
    <t>cLiEnT_5</t>
  </si>
  <si>
    <t>cLiEnT_6</t>
  </si>
  <si>
    <t>cLiEnT_7</t>
  </si>
  <si>
    <t>cLiEnT_8</t>
  </si>
  <si>
    <t>cLiEnT_9</t>
  </si>
  <si>
    <t xml:space="preserve">  Client_10 </t>
  </si>
  <si>
    <t>cLiEnT_11</t>
  </si>
  <si>
    <t>cLiEnT_12</t>
  </si>
  <si>
    <t>cLiEnT_13</t>
  </si>
  <si>
    <t>cLiEnT_14</t>
  </si>
  <si>
    <t>cLiEnT_15</t>
  </si>
  <si>
    <t>cLiEnT_16</t>
  </si>
  <si>
    <t>cLiEnT_17</t>
  </si>
  <si>
    <t xml:space="preserve">  Client_18 </t>
  </si>
  <si>
    <t>cLiEnT_19</t>
  </si>
  <si>
    <t xml:space="preserve">  Client_20 </t>
  </si>
  <si>
    <t>cLiEnT_21</t>
  </si>
  <si>
    <t xml:space="preserve">  Client_22 </t>
  </si>
  <si>
    <t xml:space="preserve">  Client_23 </t>
  </si>
  <si>
    <t>cLiEnT_24</t>
  </si>
  <si>
    <t>cLiEnT_25</t>
  </si>
  <si>
    <t>cLiEnT_26</t>
  </si>
  <si>
    <t>cLiEnT_27</t>
  </si>
  <si>
    <t xml:space="preserve">  Client_28 </t>
  </si>
  <si>
    <t xml:space="preserve">  Client_29 </t>
  </si>
  <si>
    <t>cLiEnT_30</t>
  </si>
  <si>
    <t>cLiEnT_31</t>
  </si>
  <si>
    <t>cLiEnT_32</t>
  </si>
  <si>
    <t>cLiEnT_33</t>
  </si>
  <si>
    <t>cLiEnT_34</t>
  </si>
  <si>
    <t>cLiEnT_35</t>
  </si>
  <si>
    <t>cLiEnT_36</t>
  </si>
  <si>
    <t xml:space="preserve">  Client_37 </t>
  </si>
  <si>
    <t>cLiEnT_38</t>
  </si>
  <si>
    <t>cLiEnT_39</t>
  </si>
  <si>
    <t>cLiEnT_40</t>
  </si>
  <si>
    <t>cLiEnT_41</t>
  </si>
  <si>
    <t>cLiEnT_42</t>
  </si>
  <si>
    <t>cLiEnT_43</t>
  </si>
  <si>
    <t>cLiEnT_44</t>
  </si>
  <si>
    <t>cLiEnT_45</t>
  </si>
  <si>
    <t>cLiEnT_46</t>
  </si>
  <si>
    <t xml:space="preserve">  Client_47 </t>
  </si>
  <si>
    <t xml:space="preserve">  Client_48 </t>
  </si>
  <si>
    <t>cLiEnT_49</t>
  </si>
  <si>
    <t>cLiEnT_50</t>
  </si>
  <si>
    <t>cLiEnT_51</t>
  </si>
  <si>
    <t>cLiEnT_52</t>
  </si>
  <si>
    <t>cLiEnT_53</t>
  </si>
  <si>
    <t xml:space="preserve">  Client_54 </t>
  </si>
  <si>
    <t>cLiEnT_55</t>
  </si>
  <si>
    <t>cLiEnT_56</t>
  </si>
  <si>
    <t xml:space="preserve">  Client_57 </t>
  </si>
  <si>
    <t>cLiEnT_58</t>
  </si>
  <si>
    <t xml:space="preserve">  Client_59 </t>
  </si>
  <si>
    <t xml:space="preserve">  Client_60 </t>
  </si>
  <si>
    <t>cLiEnT_61</t>
  </si>
  <si>
    <t xml:space="preserve">  Client_62 </t>
  </si>
  <si>
    <t>cLiEnT_63</t>
  </si>
  <si>
    <t>cLiEnT_64</t>
  </si>
  <si>
    <t>cLiEnT_65</t>
  </si>
  <si>
    <t>cLiEnT_66</t>
  </si>
  <si>
    <t>cLiEnT_67</t>
  </si>
  <si>
    <t>cLiEnT_68</t>
  </si>
  <si>
    <t>cLiEnT_69</t>
  </si>
  <si>
    <t xml:space="preserve">  Client_70 </t>
  </si>
  <si>
    <t>cLiEnT_71</t>
  </si>
  <si>
    <t xml:space="preserve">  Client_72 </t>
  </si>
  <si>
    <t>cLiEnT_73</t>
  </si>
  <si>
    <t>cLiEnT_74</t>
  </si>
  <si>
    <t>cLiEnT_75</t>
  </si>
  <si>
    <t>cLiEnT_76</t>
  </si>
  <si>
    <t>cLiEnT_77</t>
  </si>
  <si>
    <t>cLiEnT_78</t>
  </si>
  <si>
    <t>cLiEnT_79</t>
  </si>
  <si>
    <t xml:space="preserve">  Client_80 </t>
  </si>
  <si>
    <t xml:space="preserve">  Client_81 </t>
  </si>
  <si>
    <t xml:space="preserve">  Client_82 </t>
  </si>
  <si>
    <t>cLiEnT_83</t>
  </si>
  <si>
    <t>cLiEnT_84</t>
  </si>
  <si>
    <t>cLiEnT_85</t>
  </si>
  <si>
    <t>cLiEnT_86</t>
  </si>
  <si>
    <t xml:space="preserve">  Client_87 </t>
  </si>
  <si>
    <t>cLiEnT_88</t>
  </si>
  <si>
    <t>cLiEnT_89</t>
  </si>
  <si>
    <t>cLiEnT_90</t>
  </si>
  <si>
    <t xml:space="preserve">  Client_91 </t>
  </si>
  <si>
    <t xml:space="preserve">  Client_92 </t>
  </si>
  <si>
    <t>cLiEnT_93</t>
  </si>
  <si>
    <t>cLiEnT_94</t>
  </si>
  <si>
    <t>cLiEnT_95</t>
  </si>
  <si>
    <t>cLiEnT_96</t>
  </si>
  <si>
    <t>cLiEnT_97</t>
  </si>
  <si>
    <t>cLiEnT_98</t>
  </si>
  <si>
    <t xml:space="preserve">  Client_99 </t>
  </si>
  <si>
    <t xml:space="preserve">  Client_100 </t>
  </si>
  <si>
    <t xml:space="preserve">  Client_101 </t>
  </si>
  <si>
    <t>cLiEnT_102</t>
  </si>
  <si>
    <t xml:space="preserve">  Client_103 </t>
  </si>
  <si>
    <t>cLiEnT_104</t>
  </si>
  <si>
    <t xml:space="preserve">  Client_105 </t>
  </si>
  <si>
    <t>cLiEnT_106</t>
  </si>
  <si>
    <t xml:space="preserve">  Client_107 </t>
  </si>
  <si>
    <t>cLiEnT_108</t>
  </si>
  <si>
    <t xml:space="preserve">  Client_109 </t>
  </si>
  <si>
    <t>cLiEnT_110</t>
  </si>
  <si>
    <t>cLiEnT_111</t>
  </si>
  <si>
    <t>cLiEnT_112</t>
  </si>
  <si>
    <t>cLiEnT_113</t>
  </si>
  <si>
    <t xml:space="preserve">  Client_114 </t>
  </si>
  <si>
    <t xml:space="preserve">  Client_115 </t>
  </si>
  <si>
    <t>cLiEnT_116</t>
  </si>
  <si>
    <t>cLiEnT_117</t>
  </si>
  <si>
    <t>cLiEnT_118</t>
  </si>
  <si>
    <t xml:space="preserve">  Client_119 </t>
  </si>
  <si>
    <t xml:space="preserve">  Client_120 </t>
  </si>
  <si>
    <t>cLiEnT_121</t>
  </si>
  <si>
    <t>cLiEnT_122</t>
  </si>
  <si>
    <t xml:space="preserve">  Client_123 </t>
  </si>
  <si>
    <t xml:space="preserve">  Client_124 </t>
  </si>
  <si>
    <t>cLiEnT_125</t>
  </si>
  <si>
    <t xml:space="preserve">  Client_126 </t>
  </si>
  <si>
    <t>cLiEnT_127</t>
  </si>
  <si>
    <t>cLiEnT_128</t>
  </si>
  <si>
    <t>cLiEnT_129</t>
  </si>
  <si>
    <t>cLiEnT_130</t>
  </si>
  <si>
    <t>cLiEnT_131</t>
  </si>
  <si>
    <t>cLiEnT_132</t>
  </si>
  <si>
    <t>cLiEnT_133</t>
  </si>
  <si>
    <t>cLiEnT_134</t>
  </si>
  <si>
    <t>cLiEnT_135</t>
  </si>
  <si>
    <t xml:space="preserve">  Client_136 </t>
  </si>
  <si>
    <t>cLiEnT_137</t>
  </si>
  <si>
    <t xml:space="preserve">  Client_138 </t>
  </si>
  <si>
    <t>cLiEnT_139</t>
  </si>
  <si>
    <t>cLiEnT_140</t>
  </si>
  <si>
    <t>cLiEnT_141</t>
  </si>
  <si>
    <t>cLiEnT_142</t>
  </si>
  <si>
    <t>cLiEnT_143</t>
  </si>
  <si>
    <t>cLiEnT_144</t>
  </si>
  <si>
    <t>cLiEnT_145</t>
  </si>
  <si>
    <t>cLiEnT_146</t>
  </si>
  <si>
    <t>cLiEnT_147</t>
  </si>
  <si>
    <t>cLiEnT_148</t>
  </si>
  <si>
    <t>cLiEnT_149</t>
  </si>
  <si>
    <t>cLiEnT_150</t>
  </si>
  <si>
    <t>cLiEnT_151</t>
  </si>
  <si>
    <t>cLiEnT_152</t>
  </si>
  <si>
    <t>cLiEnT_153</t>
  </si>
  <si>
    <t>cLiEnT_154</t>
  </si>
  <si>
    <t xml:space="preserve">  Client_155 </t>
  </si>
  <si>
    <t>cLiEnT_156</t>
  </si>
  <si>
    <t>cLiEnT_157</t>
  </si>
  <si>
    <t>cLiEnT_158</t>
  </si>
  <si>
    <t xml:space="preserve">  Client_159 </t>
  </si>
  <si>
    <t>cLiEnT_160</t>
  </si>
  <si>
    <t>cLiEnT_161</t>
  </si>
  <si>
    <t xml:space="preserve">  Client_162 </t>
  </si>
  <si>
    <t>cLiEnT_163</t>
  </si>
  <si>
    <t>cLiEnT_164</t>
  </si>
  <si>
    <t>cLiEnT_165</t>
  </si>
  <si>
    <t xml:space="preserve">  Client_166 </t>
  </si>
  <si>
    <t xml:space="preserve">  Client_167 </t>
  </si>
  <si>
    <t xml:space="preserve">  Client_168 </t>
  </si>
  <si>
    <t xml:space="preserve">  Client_169 </t>
  </si>
  <si>
    <t>cLiEnT_170</t>
  </si>
  <si>
    <t>cLiEnT_171</t>
  </si>
  <si>
    <t>cLiEnT_172</t>
  </si>
  <si>
    <t>cLiEnT_173</t>
  </si>
  <si>
    <t>cLiEnT_174</t>
  </si>
  <si>
    <t xml:space="preserve">  Client_175 </t>
  </si>
  <si>
    <t>cLiEnT_176</t>
  </si>
  <si>
    <t>cLiEnT_177</t>
  </si>
  <si>
    <t>cLiEnT_178</t>
  </si>
  <si>
    <t xml:space="preserve">  Client_179 </t>
  </si>
  <si>
    <t xml:space="preserve">  Client_180 </t>
  </si>
  <si>
    <t xml:space="preserve">  Client_181 </t>
  </si>
  <si>
    <t>cLiEnT_182</t>
  </si>
  <si>
    <t xml:space="preserve">  Client_183 </t>
  </si>
  <si>
    <t>cLiEnT_184</t>
  </si>
  <si>
    <t xml:space="preserve">  Client_185 </t>
  </si>
  <si>
    <t>cLiEnT_186</t>
  </si>
  <si>
    <t>cLiEnT_187</t>
  </si>
  <si>
    <t>cLiEnT_188</t>
  </si>
  <si>
    <t>cLiEnT_189</t>
  </si>
  <si>
    <t xml:space="preserve">  Client_190 </t>
  </si>
  <si>
    <t>cLiEnT_191</t>
  </si>
  <si>
    <t>cLiEnT_192</t>
  </si>
  <si>
    <t xml:space="preserve">  Client_193 </t>
  </si>
  <si>
    <t xml:space="preserve">  Client_194 </t>
  </si>
  <si>
    <t>cLiEnT_195</t>
  </si>
  <si>
    <t>cLiEnT_196</t>
  </si>
  <si>
    <t xml:space="preserve">  Client_197 </t>
  </si>
  <si>
    <t xml:space="preserve">  Client_198 </t>
  </si>
  <si>
    <t>cLiEnT_199</t>
  </si>
  <si>
    <t>cLiEnT_200</t>
  </si>
  <si>
    <t>cLiEnT_201</t>
  </si>
  <si>
    <t>cLiEnT_202</t>
  </si>
  <si>
    <t>cLiEnT_203</t>
  </si>
  <si>
    <t>cLiEnT_204</t>
  </si>
  <si>
    <t xml:space="preserve">  Client_205 </t>
  </si>
  <si>
    <t>cLiEnT_206</t>
  </si>
  <si>
    <t>cLiEnT_207</t>
  </si>
  <si>
    <t>cLiEnT_208</t>
  </si>
  <si>
    <t>cLiEnT_209</t>
  </si>
  <si>
    <t>cLiEnT_210</t>
  </si>
  <si>
    <t>cLiEnT_211</t>
  </si>
  <si>
    <t>cLiEnT_212</t>
  </si>
  <si>
    <t>cLiEnT_213</t>
  </si>
  <si>
    <t>cLiEnT_214</t>
  </si>
  <si>
    <t>cLiEnT_215</t>
  </si>
  <si>
    <t>cLiEnT_216</t>
  </si>
  <si>
    <t>cLiEnT_217</t>
  </si>
  <si>
    <t>cLiEnT_218</t>
  </si>
  <si>
    <t xml:space="preserve">  Client_219 </t>
  </si>
  <si>
    <t xml:space="preserve">  Client_220 </t>
  </si>
  <si>
    <t>cLiEnT_221</t>
  </si>
  <si>
    <t>cLiEnT_222</t>
  </si>
  <si>
    <t>cLiEnT_223</t>
  </si>
  <si>
    <t>cLiEnT_224</t>
  </si>
  <si>
    <t>cLiEnT_225</t>
  </si>
  <si>
    <t>cLiEnT_226</t>
  </si>
  <si>
    <t xml:space="preserve">  Client_227 </t>
  </si>
  <si>
    <t>cLiEnT_228</t>
  </si>
  <si>
    <t>cLiEnT_229</t>
  </si>
  <si>
    <t>cLiEnT_230</t>
  </si>
  <si>
    <t>cLiEnT_231</t>
  </si>
  <si>
    <t xml:space="preserve">  Client_232 </t>
  </si>
  <si>
    <t xml:space="preserve">  Client_233 </t>
  </si>
  <si>
    <t>cLiEnT_234</t>
  </si>
  <si>
    <t>cLiEnT_235</t>
  </si>
  <si>
    <t xml:space="preserve">  Client_236 </t>
  </si>
  <si>
    <t xml:space="preserve">  Client_237 </t>
  </si>
  <si>
    <t>cLiEnT_238</t>
  </si>
  <si>
    <t>cLiEnT_239</t>
  </si>
  <si>
    <t>cLiEnT_240</t>
  </si>
  <si>
    <t xml:space="preserve">  Client_241 </t>
  </si>
  <si>
    <t>cLiEnT_242</t>
  </si>
  <si>
    <t>cLiEnT_243</t>
  </si>
  <si>
    <t xml:space="preserve">  Client_244 </t>
  </si>
  <si>
    <t>cLiEnT_245</t>
  </si>
  <si>
    <t>cLiEnT_246</t>
  </si>
  <si>
    <t>cLiEnT_247</t>
  </si>
  <si>
    <t>cLiEnT_248</t>
  </si>
  <si>
    <t>cLiEnT_249</t>
  </si>
  <si>
    <t>cLiEnT_250</t>
  </si>
  <si>
    <t>cLiEnT_251</t>
  </si>
  <si>
    <t>cLiEnT_252</t>
  </si>
  <si>
    <t>cLiEnT_253</t>
  </si>
  <si>
    <t xml:space="preserve">  Client_254 </t>
  </si>
  <si>
    <t>cLiEnT_255</t>
  </si>
  <si>
    <t>cLiEnT_256</t>
  </si>
  <si>
    <t xml:space="preserve">  Client_257 </t>
  </si>
  <si>
    <t>cLiEnT_258</t>
  </si>
  <si>
    <t>cLiEnT_259</t>
  </si>
  <si>
    <t>cLiEnT_260</t>
  </si>
  <si>
    <t xml:space="preserve">  Client_261 </t>
  </si>
  <si>
    <t>cLiEnT_262</t>
  </si>
  <si>
    <t>cLiEnT_263</t>
  </si>
  <si>
    <t>cLiEnT_264</t>
  </si>
  <si>
    <t xml:space="preserve">  Client_265 </t>
  </si>
  <si>
    <t>cLiEnT_266</t>
  </si>
  <si>
    <t>cLiEnT_267</t>
  </si>
  <si>
    <t>cLiEnT_268</t>
  </si>
  <si>
    <t>cLiEnT_269</t>
  </si>
  <si>
    <t>cLiEnT_270</t>
  </si>
  <si>
    <t>cLiEnT_271</t>
  </si>
  <si>
    <t>cLiEnT_272</t>
  </si>
  <si>
    <t xml:space="preserve">  Client_273 </t>
  </si>
  <si>
    <t>cLiEnT_274</t>
  </si>
  <si>
    <t>cLiEnT_275</t>
  </si>
  <si>
    <t>cLiEnT_276</t>
  </si>
  <si>
    <t>cLiEnT_277</t>
  </si>
  <si>
    <t xml:space="preserve">  Client_278 </t>
  </si>
  <si>
    <t xml:space="preserve">  Client_279 </t>
  </si>
  <si>
    <t>cLiEnT_280</t>
  </si>
  <si>
    <t xml:space="preserve">  Client_281 </t>
  </si>
  <si>
    <t xml:space="preserve">  Client_282 </t>
  </si>
  <si>
    <t>cLiEnT_283</t>
  </si>
  <si>
    <t xml:space="preserve">  Client_284 </t>
  </si>
  <si>
    <t>cLiEnT_285</t>
  </si>
  <si>
    <t xml:space="preserve">  Client_286 </t>
  </si>
  <si>
    <t>cLiEnT_287</t>
  </si>
  <si>
    <t xml:space="preserve">  Client_288 </t>
  </si>
  <si>
    <t>cLiEnT_289</t>
  </si>
  <si>
    <t>cLiEnT_290</t>
  </si>
  <si>
    <t>cLiEnT_291</t>
  </si>
  <si>
    <t xml:space="preserve">  Client_292 </t>
  </si>
  <si>
    <t xml:space="preserve">  Client_293 </t>
  </si>
  <si>
    <t>cLiEnT_294</t>
  </si>
  <si>
    <t>cLiEnT_295</t>
  </si>
  <si>
    <t xml:space="preserve">  Client_296 </t>
  </si>
  <si>
    <t>cLiEnT_297</t>
  </si>
  <si>
    <t xml:space="preserve">  Client_298 </t>
  </si>
  <si>
    <t xml:space="preserve">  Client_299 </t>
  </si>
  <si>
    <t xml:space="preserve">  Client_300 </t>
  </si>
  <si>
    <t xml:space="preserve">  Client_301 </t>
  </si>
  <si>
    <t>cLiEnT_302</t>
  </si>
  <si>
    <t xml:space="preserve">  Client_303 </t>
  </si>
  <si>
    <t>cLiEnT_304</t>
  </si>
  <si>
    <t>cLiEnT_305</t>
  </si>
  <si>
    <t>cLiEnT_306</t>
  </si>
  <si>
    <t xml:space="preserve">  Client_307 </t>
  </si>
  <si>
    <t>cLiEnT_308</t>
  </si>
  <si>
    <t>cLiEnT_309</t>
  </si>
  <si>
    <t>cLiEnT_310</t>
  </si>
  <si>
    <t xml:space="preserve">  Client_311 </t>
  </si>
  <si>
    <t>cLiEnT_312</t>
  </si>
  <si>
    <t xml:space="preserve">  Client_313 </t>
  </si>
  <si>
    <t>cLiEnT_314</t>
  </si>
  <si>
    <t>cLiEnT_315</t>
  </si>
  <si>
    <t>cLiEnT_316</t>
  </si>
  <si>
    <t xml:space="preserve">  Client_317 </t>
  </si>
  <si>
    <t xml:space="preserve">  Client_318 </t>
  </si>
  <si>
    <t>cLiEnT_319</t>
  </si>
  <si>
    <t>cLiEnT_320</t>
  </si>
  <si>
    <t>cLiEnT_321</t>
  </si>
  <si>
    <t>cLiEnT_322</t>
  </si>
  <si>
    <t xml:space="preserve">  Client_323 </t>
  </si>
  <si>
    <t>cLiEnT_324</t>
  </si>
  <si>
    <t>cLiEnT_325</t>
  </si>
  <si>
    <t>cLiEnT_326</t>
  </si>
  <si>
    <t>cLiEnT_327</t>
  </si>
  <si>
    <t xml:space="preserve">  Client_328 </t>
  </si>
  <si>
    <t xml:space="preserve">  Client_329 </t>
  </si>
  <si>
    <t xml:space="preserve">  Client_330 </t>
  </si>
  <si>
    <t xml:space="preserve">  Client_331 </t>
  </si>
  <si>
    <t>cLiEnT_332</t>
  </si>
  <si>
    <t xml:space="preserve">  Client_333 </t>
  </si>
  <si>
    <t xml:space="preserve">  Client_334 </t>
  </si>
  <si>
    <t xml:space="preserve">  Client_335 </t>
  </si>
  <si>
    <t xml:space="preserve">  Client_336 </t>
  </si>
  <si>
    <t>cLiEnT_337</t>
  </si>
  <si>
    <t>cLiEnT_338</t>
  </si>
  <si>
    <t>cLiEnT_339</t>
  </si>
  <si>
    <t>cLiEnT_340</t>
  </si>
  <si>
    <t>cLiEnT_341</t>
  </si>
  <si>
    <t>cLiEnT_342</t>
  </si>
  <si>
    <t xml:space="preserve">  Client_343 </t>
  </si>
  <si>
    <t>cLiEnT_344</t>
  </si>
  <si>
    <t>cLiEnT_345</t>
  </si>
  <si>
    <t>cLiEnT_346</t>
  </si>
  <si>
    <t>cLiEnT_347</t>
  </si>
  <si>
    <t xml:space="preserve">  Client_348 </t>
  </si>
  <si>
    <t>cLiEnT_349</t>
  </si>
  <si>
    <t>cLiEnT_350</t>
  </si>
  <si>
    <t>cLiEnT_351</t>
  </si>
  <si>
    <t>cLiEnT_352</t>
  </si>
  <si>
    <t>cLiEnT_353</t>
  </si>
  <si>
    <t>cLiEnT_354</t>
  </si>
  <si>
    <t xml:space="preserve">  Client_355 </t>
  </si>
  <si>
    <t xml:space="preserve">  Client_356 </t>
  </si>
  <si>
    <t xml:space="preserve">  Client_357 </t>
  </si>
  <si>
    <t>cLiEnT_358</t>
  </si>
  <si>
    <t>cLiEnT_359</t>
  </si>
  <si>
    <t>cLiEnT_360</t>
  </si>
  <si>
    <t xml:space="preserve">  Client_361 </t>
  </si>
  <si>
    <t>cLiEnT_362</t>
  </si>
  <si>
    <t>cLiEnT_363</t>
  </si>
  <si>
    <t>cLiEnT_364</t>
  </si>
  <si>
    <t xml:space="preserve">  Client_365 </t>
  </si>
  <si>
    <t>cLiEnT_366</t>
  </si>
  <si>
    <t xml:space="preserve">  Client_367 </t>
  </si>
  <si>
    <t>cLiEnT_368</t>
  </si>
  <si>
    <t>cLiEnT_369</t>
  </si>
  <si>
    <t>cLiEnT_370</t>
  </si>
  <si>
    <t>cLiEnT_371</t>
  </si>
  <si>
    <t>cLiEnT_372</t>
  </si>
  <si>
    <t xml:space="preserve">  Client_373 </t>
  </si>
  <si>
    <t>cLiEnT_374</t>
  </si>
  <si>
    <t>cLiEnT_375</t>
  </si>
  <si>
    <t>cLiEnT_376</t>
  </si>
  <si>
    <t>cLiEnT_377</t>
  </si>
  <si>
    <t>cLiEnT_378</t>
  </si>
  <si>
    <t>cLiEnT_379</t>
  </si>
  <si>
    <t>cLiEnT_380</t>
  </si>
  <si>
    <t xml:space="preserve">  Client_381 </t>
  </si>
  <si>
    <t xml:space="preserve">  Client_382 </t>
  </si>
  <si>
    <t>cLiEnT_383</t>
  </si>
  <si>
    <t>cLiEnT_384</t>
  </si>
  <si>
    <t>cLiEnT_385</t>
  </si>
  <si>
    <t xml:space="preserve">  Client_386 </t>
  </si>
  <si>
    <t xml:space="preserve">  Client_387 </t>
  </si>
  <si>
    <t>cLiEnT_388</t>
  </si>
  <si>
    <t xml:space="preserve">  Client_389 </t>
  </si>
  <si>
    <t>cLiEnT_390</t>
  </si>
  <si>
    <t>cLiEnT_391</t>
  </si>
  <si>
    <t>cLiEnT_392</t>
  </si>
  <si>
    <t>cLiEnT_393</t>
  </si>
  <si>
    <t>cLiEnT_394</t>
  </si>
  <si>
    <t>cLiEnT_395</t>
  </si>
  <si>
    <t xml:space="preserve">  Client_396 </t>
  </si>
  <si>
    <t>cLiEnT_397</t>
  </si>
  <si>
    <t>cLiEnT_398</t>
  </si>
  <si>
    <t xml:space="preserve">  Client_399 </t>
  </si>
  <si>
    <t xml:space="preserve">  Client_400 </t>
  </si>
  <si>
    <t xml:space="preserve">  Client_401 </t>
  </si>
  <si>
    <t>cLiEnT_402</t>
  </si>
  <si>
    <t>cLiEnT_403</t>
  </si>
  <si>
    <t>cLiEnT_404</t>
  </si>
  <si>
    <t>cLiEnT_405</t>
  </si>
  <si>
    <t xml:space="preserve">  Client_406 </t>
  </si>
  <si>
    <t>cLiEnT_407</t>
  </si>
  <si>
    <t>cLiEnT_408</t>
  </si>
  <si>
    <t xml:space="preserve">  Client_409 </t>
  </si>
  <si>
    <t xml:space="preserve">  Client_410 </t>
  </si>
  <si>
    <t>cLiEnT_411</t>
  </si>
  <si>
    <t xml:space="preserve">  Client_412 </t>
  </si>
  <si>
    <t>cLiEnT_413</t>
  </si>
  <si>
    <t>cLiEnT_414</t>
  </si>
  <si>
    <t>cLiEnT_415</t>
  </si>
  <si>
    <t>cLiEnT_416</t>
  </si>
  <si>
    <t>cLiEnT_417</t>
  </si>
  <si>
    <t>cLiEnT_418</t>
  </si>
  <si>
    <t xml:space="preserve">  Client_419 </t>
  </si>
  <si>
    <t>cLiEnT_420</t>
  </si>
  <si>
    <t>cLiEnT_421</t>
  </si>
  <si>
    <t>cLiEnT_422</t>
  </si>
  <si>
    <t xml:space="preserve">  Client_423 </t>
  </si>
  <si>
    <t xml:space="preserve">  Client_424 </t>
  </si>
  <si>
    <t>cLiEnT_425</t>
  </si>
  <si>
    <t>cLiEnT_426</t>
  </si>
  <si>
    <t xml:space="preserve">  Client_427 </t>
  </si>
  <si>
    <t>cLiEnT_428</t>
  </si>
  <si>
    <t>cLiEnT_429</t>
  </si>
  <si>
    <t>cLiEnT_430</t>
  </si>
  <si>
    <t>cLiEnT_431</t>
  </si>
  <si>
    <t>cLiEnT_432</t>
  </si>
  <si>
    <t>cLiEnT_433</t>
  </si>
  <si>
    <t xml:space="preserve">  Client_434 </t>
  </si>
  <si>
    <t>cLiEnT_435</t>
  </si>
  <si>
    <t>cLiEnT_436</t>
  </si>
  <si>
    <t>cLiEnT_437</t>
  </si>
  <si>
    <t>cLiEnT_438</t>
  </si>
  <si>
    <t>cLiEnT_439</t>
  </si>
  <si>
    <t xml:space="preserve">  Client_440 </t>
  </si>
  <si>
    <t>cLiEnT_441</t>
  </si>
  <si>
    <t xml:space="preserve">  Client_442 </t>
  </si>
  <si>
    <t xml:space="preserve">  Client_443 </t>
  </si>
  <si>
    <t xml:space="preserve">  Client_444 </t>
  </si>
  <si>
    <t>cLiEnT_445</t>
  </si>
  <si>
    <t>cLiEnT_446</t>
  </si>
  <si>
    <t>cLiEnT_447</t>
  </si>
  <si>
    <t>cLiEnT_448</t>
  </si>
  <si>
    <t>cLiEnT_449</t>
  </si>
  <si>
    <t xml:space="preserve">  Client_450 </t>
  </si>
  <si>
    <t>cLiEnT_451</t>
  </si>
  <si>
    <t xml:space="preserve">  Client_452 </t>
  </si>
  <si>
    <t xml:space="preserve">  Client_453 </t>
  </si>
  <si>
    <t>cLiEnT_454</t>
  </si>
  <si>
    <t>cLiEnT_455</t>
  </si>
  <si>
    <t>cLiEnT_456</t>
  </si>
  <si>
    <t xml:space="preserve">  Client_457 </t>
  </si>
  <si>
    <t>cLiEnT_458</t>
  </si>
  <si>
    <t xml:space="preserve">  Client_459 </t>
  </si>
  <si>
    <t>cLiEnT_460</t>
  </si>
  <si>
    <t>cLiEnT_461</t>
  </si>
  <si>
    <t>cLiEnT_462</t>
  </si>
  <si>
    <t>cLiEnT_463</t>
  </si>
  <si>
    <t>cLiEnT_464</t>
  </si>
  <si>
    <t xml:space="preserve">  Client_465 </t>
  </si>
  <si>
    <t>cLiEnT_466</t>
  </si>
  <si>
    <t>cLiEnT_467</t>
  </si>
  <si>
    <t xml:space="preserve">  Client_468 </t>
  </si>
  <si>
    <t>cLiEnT_469</t>
  </si>
  <si>
    <t xml:space="preserve">  Client_470 </t>
  </si>
  <si>
    <t>cLiEnT_471</t>
  </si>
  <si>
    <t>cLiEnT_472</t>
  </si>
  <si>
    <t>cLiEnT_473</t>
  </si>
  <si>
    <t>cLiEnT_474</t>
  </si>
  <si>
    <t>cLiEnT_475</t>
  </si>
  <si>
    <t xml:space="preserve">  Client_476 </t>
  </si>
  <si>
    <t>cLiEnT_477</t>
  </si>
  <si>
    <t>cLiEnT_478</t>
  </si>
  <si>
    <t xml:space="preserve">  Client_479 </t>
  </si>
  <si>
    <t>cLiEnT_480</t>
  </si>
  <si>
    <t xml:space="preserve">  Client_481 </t>
  </si>
  <si>
    <t>cLiEnT_482</t>
  </si>
  <si>
    <t xml:space="preserve">  Client_483 </t>
  </si>
  <si>
    <t>cLiEnT_484</t>
  </si>
  <si>
    <t>cLiEnT_485</t>
  </si>
  <si>
    <t>cLiEnT_486</t>
  </si>
  <si>
    <t xml:space="preserve">  Client_487 </t>
  </si>
  <si>
    <t>cLiEnT_488</t>
  </si>
  <si>
    <t xml:space="preserve">  Client_489 </t>
  </si>
  <si>
    <t>cLiEnT_490</t>
  </si>
  <si>
    <t>cLiEnT_491</t>
  </si>
  <si>
    <t xml:space="preserve">  Client_492 </t>
  </si>
  <si>
    <t>cLiEnT_493</t>
  </si>
  <si>
    <t>cLiEnT_494</t>
  </si>
  <si>
    <t>cLiEnT_495</t>
  </si>
  <si>
    <t>cLiEnT_496</t>
  </si>
  <si>
    <t xml:space="preserve">  Client_497 </t>
  </si>
  <si>
    <t>cLiEnT_498</t>
  </si>
  <si>
    <t xml:space="preserve">  Client_499 </t>
  </si>
  <si>
    <t xml:space="preserve">  Client_500 </t>
  </si>
  <si>
    <t>Rule flags</t>
  </si>
  <si>
    <t>Column Labels</t>
  </si>
  <si>
    <t>Mid Credit Profile Rule</t>
  </si>
  <si>
    <t>Very Low Credit Score Rule</t>
  </si>
  <si>
    <t>Moderate Credit Score Rule</t>
  </si>
  <si>
    <t>Sum of Current_Debt</t>
  </si>
  <si>
    <t>Rules flags</t>
  </si>
  <si>
    <t>Credit Score</t>
  </si>
  <si>
    <t>Look ID</t>
  </si>
  <si>
    <t xml:space="preserve">ID </t>
  </si>
  <si>
    <t>Client Name</t>
  </si>
  <si>
    <t>Monthly Income</t>
  </si>
  <si>
    <t>Loan Amount</t>
  </si>
  <si>
    <t>Annual Rate</t>
  </si>
  <si>
    <t>Term(Years)</t>
  </si>
  <si>
    <t>Years Employment</t>
  </si>
  <si>
    <t>Current Debt</t>
  </si>
  <si>
    <t>Risk Category</t>
  </si>
  <si>
    <t>Information ID and Automatic segmentation by score</t>
  </si>
  <si>
    <t>pai</t>
  </si>
  <si>
    <t>Source.Name</t>
  </si>
  <si>
    <t>1 de marzo 2026.csv</t>
  </si>
  <si>
    <t>2 de marzo 2026.csv</t>
  </si>
  <si>
    <t>CLIENT_1_1</t>
  </si>
  <si>
    <t>CLIENT_1_2</t>
  </si>
  <si>
    <t>CLIENT_1_3</t>
  </si>
  <si>
    <t>CLIENT_1_4</t>
  </si>
  <si>
    <t>CLIENT_1_5</t>
  </si>
  <si>
    <t>CLIENT_1_6</t>
  </si>
  <si>
    <t>CLIENT_1_7</t>
  </si>
  <si>
    <t>CLIENT_1_8</t>
  </si>
  <si>
    <t>CLIENT_1_9</t>
  </si>
  <si>
    <t>CLIENT_1_10</t>
  </si>
  <si>
    <t>CLIENT_1_11</t>
  </si>
  <si>
    <t>CLIENT_1_12</t>
  </si>
  <si>
    <t>CLIENT_1_13</t>
  </si>
  <si>
    <t>CLIENT_1_14</t>
  </si>
  <si>
    <t>CLIENT_1_15</t>
  </si>
  <si>
    <t>CLIENT_1_16</t>
  </si>
  <si>
    <t>CLIENT_1_17</t>
  </si>
  <si>
    <t>CLIENT_1_18</t>
  </si>
  <si>
    <t>CLIENT_1_19</t>
  </si>
  <si>
    <t>CLIENT_1_20</t>
  </si>
  <si>
    <t>CLIENT_1_21</t>
  </si>
  <si>
    <t>CLIENT_1_22</t>
  </si>
  <si>
    <t>CLIENT_1_23</t>
  </si>
  <si>
    <t>CLIENT_1_24</t>
  </si>
  <si>
    <t>CLIENT_1_25</t>
  </si>
  <si>
    <t>CLIENT_1_26</t>
  </si>
  <si>
    <t>CLIENT_1_27</t>
  </si>
  <si>
    <t>CLIENT_1_28</t>
  </si>
  <si>
    <t>CLIENT_1_29</t>
  </si>
  <si>
    <t>CLIENT_1_30</t>
  </si>
  <si>
    <t>CLIENT_1_31</t>
  </si>
  <si>
    <t>CLIENT_1_32</t>
  </si>
  <si>
    <t>CLIENT_1_33</t>
  </si>
  <si>
    <t>CLIENT_1_34</t>
  </si>
  <si>
    <t>CLIENT_1_35</t>
  </si>
  <si>
    <t>CLIENT_1_36</t>
  </si>
  <si>
    <t>CLIENT_1_37</t>
  </si>
  <si>
    <t>CLIENT_1_38</t>
  </si>
  <si>
    <t>CLIENT_1_39</t>
  </si>
  <si>
    <t>CLIENT_1_40</t>
  </si>
  <si>
    <t>CLIENT_1_41</t>
  </si>
  <si>
    <t>CLIENT_1_42</t>
  </si>
  <si>
    <t>CLIENT_1_43</t>
  </si>
  <si>
    <t>CLIENT_1_44</t>
  </si>
  <si>
    <t>CLIENT_1_45</t>
  </si>
  <si>
    <t>CLIENT_1_46</t>
  </si>
  <si>
    <t>CLIENT_1_47</t>
  </si>
  <si>
    <t>CLIENT_1_48</t>
  </si>
  <si>
    <t>CLIENT_1_49</t>
  </si>
  <si>
    <t>CLIENT_1_50</t>
  </si>
  <si>
    <t>4 de marzo 2026.csv</t>
  </si>
  <si>
    <t>CLIENT_2_1</t>
  </si>
  <si>
    <t>CLIENT_2_2</t>
  </si>
  <si>
    <t>CLIENT_2_3</t>
  </si>
  <si>
    <t>CLIENT_2_4</t>
  </si>
  <si>
    <t>CLIENT_2_5</t>
  </si>
  <si>
    <t>CLIENT_2_6</t>
  </si>
  <si>
    <t>CLIENT_2_7</t>
  </si>
  <si>
    <t>CLIENT_2_8</t>
  </si>
  <si>
    <t>CLIENT_2_9</t>
  </si>
  <si>
    <t>CLIENT_2_10</t>
  </si>
  <si>
    <t>CLIENT_2_11</t>
  </si>
  <si>
    <t>CLIENT_2_12</t>
  </si>
  <si>
    <t>CLIENT_2_13</t>
  </si>
  <si>
    <t>CLIENT_2_14</t>
  </si>
  <si>
    <t>CLIENT_2_15</t>
  </si>
  <si>
    <t>CLIENT_2_16</t>
  </si>
  <si>
    <t>CLIENT_2_17</t>
  </si>
  <si>
    <t>CLIENT_2_18</t>
  </si>
  <si>
    <t>CLIENT_2_19</t>
  </si>
  <si>
    <t>CLIENT_2_20</t>
  </si>
  <si>
    <t>CLIENT_2_21</t>
  </si>
  <si>
    <t>CLIENT_2_22</t>
  </si>
  <si>
    <t>CLIENT_2_23</t>
  </si>
  <si>
    <t>CLIENT_2_24</t>
  </si>
  <si>
    <t>CLIENT_2_25</t>
  </si>
  <si>
    <t>CLIENT_2_26</t>
  </si>
  <si>
    <t>CLIENT_2_27</t>
  </si>
  <si>
    <t>CLIENT_2_28</t>
  </si>
  <si>
    <t>CLIENT_2_29</t>
  </si>
  <si>
    <t>CLIENT_2_30</t>
  </si>
  <si>
    <t>CLIENT_2_31</t>
  </si>
  <si>
    <t>CLIENT_2_32</t>
  </si>
  <si>
    <t>CLIENT_2_33</t>
  </si>
  <si>
    <t>CLIENT_2_34</t>
  </si>
  <si>
    <t>CLIENT_2_35</t>
  </si>
  <si>
    <t>CLIENT_2_36</t>
  </si>
  <si>
    <t>CLIENT_2_37</t>
  </si>
  <si>
    <t>CLIENT_2_38</t>
  </si>
  <si>
    <t>CLIENT_2_39</t>
  </si>
  <si>
    <t>CLIENT_2_40</t>
  </si>
  <si>
    <t>CLIENT_2_41</t>
  </si>
  <si>
    <t>CLIENT_2_42</t>
  </si>
  <si>
    <t>CLIENT_2_43</t>
  </si>
  <si>
    <t>CLIENT_2_44</t>
  </si>
  <si>
    <t>CLIENT_2_45</t>
  </si>
  <si>
    <t>CLIENT_2_46</t>
  </si>
  <si>
    <t>CLIENT_2_47</t>
  </si>
  <si>
    <t>CLIENT_2_48</t>
  </si>
  <si>
    <t>CLIENT_2_49</t>
  </si>
  <si>
    <t>CLIENT_2_50</t>
  </si>
  <si>
    <t>582-631</t>
  </si>
  <si>
    <t>632-681</t>
  </si>
  <si>
    <t>682-731</t>
  </si>
  <si>
    <t>732-781</t>
  </si>
  <si>
    <t>782-831</t>
  </si>
  <si>
    <t>832-881</t>
  </si>
  <si>
    <t>5 de marzo 2026.csv</t>
  </si>
  <si>
    <t>6 de marzo 2026.csv</t>
  </si>
  <si>
    <t>CLIENT_2_51</t>
  </si>
  <si>
    <t>CLIENT_2_52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</si>
</sst>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7" formatCode="&quot;$&quot;#,##0.00_);\(&quot;$&quot;#,##0.00\)"/>
    <numFmt numFmtId="44" formatCode="_(&quot;$&quot;* #,##0.00_);_(&quot;$&quot;* \(#,##0.00\);_(&quot;$&quot;* &quot;-&quot;??_);_(@_)"/>
    <numFmt numFmtId="164" formatCode="&quot;$&quot;#,##0.00"/>
  </numFmts>
  <fonts count="11" x14ac:knownFonts="1">
    <font>
      <sz val="11"/>
      <color theme="1"/>
      <name val="Aptos Narrow"/>
      <family val="2"/>
      <scheme val="minor"/>
    </font>
    <font>
      <sz val="11"/>
      <color rgb="FF000000"/>
      <name val="Aptos Narrow"/>
      <family val="2"/>
    </font>
    <font>
      <b/>
      <sz val="11"/>
      <color theme="1"/>
      <name val="Aptos Narrow"/>
      <family val="2"/>
      <scheme val="minor"/>
    </font>
    <font>
      <sz val="11"/>
      <color theme="1"/>
      <name val="Abadi"/>
      <family val="2"/>
    </font>
    <font>
      <sz val="20"/>
      <color rgb="FF156082"/>
      <name val="Aptos Display"/>
      <family val="2"/>
    </font>
    <font>
      <sz val="11"/>
      <color theme="1"/>
      <name val="Aptos Narrow"/>
      <family val="2"/>
      <scheme val="minor"/>
    </font>
    <font>
      <sz val="11"/>
      <color theme="0"/>
      <name val="Aptos Narrow"/>
      <family val="2"/>
      <scheme val="minor"/>
    </font>
    <font>
      <sz val="12"/>
      <color theme="0"/>
      <name val="Aptos Narrow"/>
      <family val="2"/>
      <scheme val="minor"/>
    </font>
    <font>
      <sz val="11"/>
      <name val="Aptos Narrow"/>
      <family val="2"/>
      <scheme val="minor"/>
    </font>
    <font>
      <sz val="11"/>
      <color rgb="FF000000"/>
      <name val="Aptos Narrow"/>
      <family val="2"/>
      <scheme val="minor"/>
    </font>
    <font>
      <sz val="8"/>
      <name val="Aptos Narrow"/>
      <family val="2"/>
      <scheme val="minor"/>
    </font>
  </fonts>
  <fills count="10">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00B050"/>
        <bgColor indexed="64"/>
      </patternFill>
    </fill>
    <fill>
      <patternFill patternType="solid">
        <fgColor theme="3"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rgb="FF0070C0"/>
        <bgColor indexed="64"/>
      </patternFill>
    </fill>
    <fill>
      <patternFill patternType="solid">
        <fgColor theme="3" tint="0.89999084444715716"/>
        <bgColor indexed="64"/>
      </patternFill>
    </fill>
  </fills>
  <borders count="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44" fontId="5" fillId="0" borderId="0" applyFont="0" applyFill="0" applyBorder="0" applyAlignment="0" applyProtection="0"/>
  </cellStyleXfs>
  <cellXfs count="36">
    <xf numFmtId="0" fontId="0" fillId="0" borderId="0" xfId="0"/>
    <xf numFmtId="164" fontId="0" fillId="0" borderId="0" xfId="0" applyNumberFormat="1"/>
    <xf numFmtId="0" fontId="0" fillId="0" borderId="0" xfId="0" pivotButton="1"/>
    <xf numFmtId="0" fontId="0" fillId="0" borderId="0" xfId="0" applyAlignment="1">
      <alignment horizontal="left"/>
    </xf>
    <xf numFmtId="0" fontId="0" fillId="5" borderId="0" xfId="0" applyFill="1"/>
    <xf numFmtId="0" fontId="2" fillId="0" borderId="1" xfId="0" applyFont="1" applyBorder="1"/>
    <xf numFmtId="0" fontId="0" fillId="0" borderId="1" xfId="0" applyBorder="1"/>
    <xf numFmtId="10" fontId="0" fillId="0" borderId="0" xfId="0" applyNumberFormat="1"/>
    <xf numFmtId="0" fontId="0" fillId="6" borderId="0" xfId="0" applyFill="1"/>
    <xf numFmtId="0" fontId="3" fillId="6" borderId="0" xfId="0" applyFont="1" applyFill="1"/>
    <xf numFmtId="164" fontId="0" fillId="6" borderId="0" xfId="0" applyNumberFormat="1" applyFill="1"/>
    <xf numFmtId="10" fontId="0" fillId="6" borderId="0" xfId="0" applyNumberFormat="1" applyFill="1"/>
    <xf numFmtId="0" fontId="4" fillId="6" borderId="0" xfId="0" applyFont="1" applyFill="1" applyAlignment="1">
      <alignment horizontal="center" vertical="center" readingOrder="1"/>
    </xf>
    <xf numFmtId="0" fontId="0" fillId="7" borderId="0" xfId="0" applyFill="1"/>
    <xf numFmtId="0" fontId="7" fillId="8" borderId="2" xfId="0" applyFont="1" applyFill="1" applyBorder="1"/>
    <xf numFmtId="0" fontId="8" fillId="9" borderId="2" xfId="0" applyFont="1" applyFill="1" applyBorder="1"/>
    <xf numFmtId="0" fontId="6" fillId="8" borderId="3" xfId="0" applyFont="1" applyFill="1" applyBorder="1"/>
    <xf numFmtId="0" fontId="8" fillId="9" borderId="3" xfId="0" applyFont="1" applyFill="1" applyBorder="1"/>
    <xf numFmtId="0" fontId="7" fillId="8" borderId="3" xfId="0" applyFont="1" applyFill="1" applyBorder="1"/>
    <xf numFmtId="0" fontId="8" fillId="9" borderId="2" xfId="0" applyFont="1" applyFill="1" applyBorder="1" applyAlignment="1">
      <alignment horizontal="right"/>
    </xf>
    <xf numFmtId="44" fontId="8" fillId="9" borderId="2" xfId="1" applyFont="1" applyFill="1" applyBorder="1"/>
    <xf numFmtId="44" fontId="0" fillId="0" borderId="0" xfId="1" applyFont="1"/>
    <xf numFmtId="0" fontId="9" fillId="0" borderId="0" xfId="0" applyFont="1"/>
    <xf numFmtId="10" fontId="9" fillId="0" borderId="0" xfId="0" applyNumberFormat="1" applyFont="1"/>
    <xf numFmtId="0" fontId="0" fillId="2" borderId="0" xfId="0" applyFill="1"/>
    <xf numFmtId="0" fontId="0" fillId="3" borderId="0" xfId="0" applyFill="1"/>
    <xf numFmtId="0" fontId="0" fillId="4" borderId="0" xfId="0" applyFill="1"/>
    <xf numFmtId="7" fontId="0" fillId="0" borderId="0" xfId="0" applyNumberFormat="1"/>
    <xf numFmtId="0" fontId="7" fillId="8" borderId="2" xfId="0" applyFont="1" applyFill="1" applyBorder="1" applyAlignment="1">
      <alignment horizontal="center"/>
    </xf>
    <xf numFmtId="0" fontId="0" fillId="0" borderId="0" xfId="0" applyNumberFormat="1"/>
    <xf numFmtId="0" fontId="0" fillId="0" borderId="0" xfId="0" applyFont="1"/>
    <xf numFmtId="7" fontId="0" fillId="0" borderId="0" xfId="0" applyNumberFormat="1" applyFont="1"/>
    <xf numFmtId="164" fontId="0" fillId="0" borderId="0" xfId="0" applyNumberFormat="1" applyFont="1"/>
    <xf numFmtId="0" fontId="0" fillId="0" borderId="0" xfId="0" applyNumberFormat="1" applyFont="1"/>
    <xf numFmtId="0" fontId="0" fillId="2" borderId="0" xfId="0" applyFont="1" applyFill="1"/>
    <xf numFmtId="10" fontId="0" fillId="0" borderId="0" xfId="0" applyNumberFormat="1" applyFont="1"/>
  </cellXfs>
  <cellStyles count="2">
    <cellStyle name="Currency" xfId="1" builtinId="4"/>
    <cellStyle name="Normal" xfId="0" builtinId="0"/>
  </cellStyles>
  <dxfs count="41">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numFmt numFmtId="164" formatCode="&quot;$&quot;#,##0.00"/>
    </dxf>
    <dxf>
      <numFmt numFmtId="164" formatCode="&quot;$&quot;#,##0.00"/>
    </dxf>
    <dxf>
      <font>
        <strike val="0"/>
        <outline val="0"/>
        <shadow val="0"/>
        <u val="none"/>
        <vertAlign val="baseline"/>
        <sz val="11"/>
        <color auto="1"/>
        <name val="Aptos Narrow"/>
        <family val="2"/>
        <scheme val="minor"/>
      </font>
      <fill>
        <patternFill patternType="solid">
          <fgColor indexed="64"/>
          <bgColor theme="3" tint="0.89999084444715716"/>
        </patternFill>
      </fill>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theme="0"/>
        <name val="Aptos Narrow"/>
        <family val="2"/>
        <scheme val="minor"/>
      </font>
      <fill>
        <patternFill patternType="solid">
          <fgColor indexed="64"/>
          <bgColor rgb="FF0070C0"/>
        </patternFill>
      </fill>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right/>
        <top/>
        <bottom/>
      </border>
    </dxf>
    <dxf>
      <border outline="0">
        <top style="thin">
          <color indexed="64"/>
        </top>
        <bottom style="thin">
          <color indexed="64"/>
        </bottom>
      </border>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numFmt numFmtId="14" formatCode="0.00%"/>
    </dxf>
    <dxf>
      <font>
        <strike val="0"/>
        <outline val="0"/>
        <shadow val="0"/>
        <u val="none"/>
        <vertAlign val="baseline"/>
        <sz val="11"/>
        <color theme="1"/>
        <name val="Aptos Narrow"/>
        <family val="2"/>
        <scheme val="minor"/>
      </font>
      <fill>
        <patternFill patternType="solid">
          <fgColor indexed="64"/>
          <bgColor rgb="FFFFC000"/>
        </patternFill>
      </fill>
    </dxf>
    <dxf>
      <font>
        <strike val="0"/>
        <outline val="0"/>
        <shadow val="0"/>
        <u val="none"/>
        <vertAlign val="baseline"/>
        <sz val="11"/>
        <color theme="1"/>
        <name val="Aptos Narrow"/>
        <family val="2"/>
        <scheme val="minor"/>
      </font>
      <numFmt numFmtId="164" formatCode="&quot;$&quot;#,##0.00"/>
    </dxf>
    <dxf>
      <font>
        <strike val="0"/>
        <outline val="0"/>
        <shadow val="0"/>
        <u val="none"/>
        <vertAlign val="baseline"/>
        <sz val="11"/>
        <color theme="1"/>
        <name val="Aptos Narrow"/>
        <family val="2"/>
        <scheme val="minor"/>
      </font>
      <numFmt numFmtId="0" formatCode="General"/>
    </dxf>
    <dxf>
      <font>
        <strike val="0"/>
        <outline val="0"/>
        <shadow val="0"/>
        <u val="none"/>
        <vertAlign val="baseline"/>
        <sz val="11"/>
        <color theme="1"/>
        <name val="Aptos Narrow"/>
        <family val="2"/>
        <scheme val="minor"/>
      </font>
      <numFmt numFmtId="0" formatCode="General"/>
    </dxf>
    <dxf>
      <font>
        <strike val="0"/>
        <outline val="0"/>
        <shadow val="0"/>
        <u val="none"/>
        <vertAlign val="baseline"/>
        <sz val="11"/>
        <color theme="1"/>
        <name val="Aptos Narrow"/>
        <family val="2"/>
        <scheme val="minor"/>
      </font>
      <numFmt numFmtId="0" formatCode="General"/>
    </dxf>
    <dxf>
      <font>
        <strike val="0"/>
        <outline val="0"/>
        <shadow val="0"/>
        <u val="none"/>
        <vertAlign val="baseline"/>
        <sz val="11"/>
        <color theme="1"/>
        <name val="Aptos Narrow"/>
        <family val="2"/>
        <scheme val="minor"/>
      </font>
      <numFmt numFmtId="0" formatCode="General"/>
    </dxf>
    <dxf>
      <font>
        <strike val="0"/>
        <outline val="0"/>
        <shadow val="0"/>
        <u val="none"/>
        <vertAlign val="baseline"/>
        <sz val="11"/>
        <color theme="1"/>
        <name val="Aptos Narrow"/>
        <family val="2"/>
        <scheme val="minor"/>
      </font>
      <numFmt numFmtId="164" formatCode="&quot;$&quot;#,##0.00"/>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numFmt numFmtId="0" formatCode="General"/>
    </dxf>
    <dxf>
      <numFmt numFmtId="0" formatCode="General"/>
    </dxf>
  </dxfs>
  <tableStyles count="0" defaultTableStyle="TableStyleMedium2" defaultPivotStyle="PivotStyleLight16"/>
  <colors>
    <mruColors>
      <color rgb="FF59D3C2"/>
      <color rgb="FFB0D0EE"/>
      <color rgb="FFC7EBFB"/>
      <color rgb="FFCDEAF7"/>
      <color rgb="FFB7E0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 FINANZIA PROJECT.xlsm]pivot_tables!PivotTable6</c:name>
    <c:fmtId val="6"/>
  </c:pivotSource>
  <c:chart>
    <c:title>
      <c:tx>
        <c:rich>
          <a:bodyPr rot="0" spcFirstLastPara="1" vertOverflow="ellipsis" vert="horz" wrap="square" anchor="ctr" anchorCtr="1"/>
          <a:lstStyle/>
          <a:p>
            <a:pPr>
              <a:defRPr sz="2000" b="0" i="0" u="none" strike="noStrike" kern="1200" cap="none" spc="0" normalizeH="0" baseline="0">
                <a:solidFill>
                  <a:schemeClr val="accent1"/>
                </a:solidFill>
                <a:latin typeface="+mj-lt"/>
                <a:ea typeface="+mj-ea"/>
                <a:cs typeface="+mj-cs"/>
              </a:defRPr>
            </a:pPr>
            <a:r>
              <a:rPr lang="es-MX" sz="1600" b="0">
                <a:solidFill>
                  <a:schemeClr val="accent1"/>
                </a:solidFill>
              </a:rPr>
              <a:t>Decision Distribution</a:t>
            </a:r>
          </a:p>
        </c:rich>
      </c:tx>
      <c:layout>
        <c:manualLayout>
          <c:xMode val="edge"/>
          <c:yMode val="edge"/>
          <c:x val="0.2536169046757028"/>
          <c:y val="0"/>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accent1"/>
              </a:solidFill>
              <a:latin typeface="+mj-lt"/>
              <a:ea typeface="+mj-ea"/>
              <a:cs typeface="+mj-cs"/>
            </a:defRPr>
          </a:pPr>
          <a:endParaRPr lang="es-MX"/>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9D3C2"/>
          </a:solidFill>
          <a:ln>
            <a:noFill/>
          </a:ln>
          <a:effectLst/>
        </c:spPr>
        <c:dLbl>
          <c:idx val="0"/>
          <c:layout>
            <c:manualLayout>
              <c:x val="0"/>
              <c:y val="7.390850363852890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0"/>
              <c:y val="4.78269827194247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
              <c:y val="7.671566329924472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pivot_tables!$G$4</c:f>
              <c:strCache>
                <c:ptCount val="1"/>
                <c:pt idx="0">
                  <c:v>Total</c:v>
                </c:pt>
              </c:strCache>
            </c:strRef>
          </c:tx>
          <c:spPr>
            <a:solidFill>
              <a:schemeClr val="accent1"/>
            </a:solidFill>
            <a:ln>
              <a:noFill/>
            </a:ln>
            <a:effectLst/>
          </c:spPr>
          <c:invertIfNegative val="0"/>
          <c:dPt>
            <c:idx val="0"/>
            <c:invertIfNegative val="0"/>
            <c:bubble3D val="0"/>
            <c:spPr>
              <a:solidFill>
                <a:srgbClr val="59D3C2"/>
              </a:solidFill>
              <a:ln>
                <a:noFill/>
              </a:ln>
              <a:effectLst/>
            </c:spPr>
            <c:extLst>
              <c:ext xmlns:c16="http://schemas.microsoft.com/office/drawing/2014/chart" uri="{C3380CC4-5D6E-409C-BE32-E72D297353CC}">
                <c16:uniqueId val="{00000001-DDCA-42FE-BFC5-2D39B47AE3B7}"/>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2-DDCA-42FE-BFC5-2D39B47AE3B7}"/>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3-DDCA-42FE-BFC5-2D39B47AE3B7}"/>
              </c:ext>
            </c:extLst>
          </c:dPt>
          <c:dLbls>
            <c:dLbl>
              <c:idx val="0"/>
              <c:layout>
                <c:manualLayout>
                  <c:x val="0"/>
                  <c:y val="7.390850363852890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DCA-42FE-BFC5-2D39B47AE3B7}"/>
                </c:ext>
              </c:extLst>
            </c:dLbl>
            <c:dLbl>
              <c:idx val="1"/>
              <c:layout>
                <c:manualLayout>
                  <c:x val="0"/>
                  <c:y val="4.782698271942473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DCA-42FE-BFC5-2D39B47AE3B7}"/>
                </c:ext>
              </c:extLst>
            </c:dLbl>
            <c:dLbl>
              <c:idx val="2"/>
              <c:layout>
                <c:manualLayout>
                  <c:x val="0"/>
                  <c:y val="7.671566329924472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DCA-42FE-BFC5-2D39B47AE3B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pivot_tables!$F$5:$F$8</c:f>
              <c:strCache>
                <c:ptCount val="3"/>
                <c:pt idx="0">
                  <c:v>Approved</c:v>
                </c:pt>
                <c:pt idx="1">
                  <c:v>Refused</c:v>
                </c:pt>
                <c:pt idx="2">
                  <c:v>Revision</c:v>
                </c:pt>
              </c:strCache>
            </c:strRef>
          </c:cat>
          <c:val>
            <c:numRef>
              <c:f>pivot_tables!$G$5:$G$8</c:f>
              <c:numCache>
                <c:formatCode>0.00%</c:formatCode>
                <c:ptCount val="3"/>
                <c:pt idx="0">
                  <c:v>0.15333333333333332</c:v>
                </c:pt>
                <c:pt idx="1">
                  <c:v>0.32666666666666666</c:v>
                </c:pt>
                <c:pt idx="2">
                  <c:v>0.52</c:v>
                </c:pt>
              </c:numCache>
            </c:numRef>
          </c:val>
          <c:extLst>
            <c:ext xmlns:c16="http://schemas.microsoft.com/office/drawing/2014/chart" uri="{C3380CC4-5D6E-409C-BE32-E72D297353CC}">
              <c16:uniqueId val="{00000000-DDCA-42FE-BFC5-2D39B47AE3B7}"/>
            </c:ext>
          </c:extLst>
        </c:ser>
        <c:dLbls>
          <c:dLblPos val="inEnd"/>
          <c:showLegendKey val="0"/>
          <c:showVal val="1"/>
          <c:showCatName val="0"/>
          <c:showSerName val="0"/>
          <c:showPercent val="0"/>
          <c:showBubbleSize val="0"/>
        </c:dLbls>
        <c:gapWidth val="199"/>
        <c:axId val="328087087"/>
        <c:axId val="328085167"/>
      </c:barChart>
      <c:catAx>
        <c:axId val="328087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MX"/>
          </a:p>
        </c:txPr>
        <c:crossAx val="328085167"/>
        <c:crosses val="autoZero"/>
        <c:auto val="1"/>
        <c:lblAlgn val="ctr"/>
        <c:lblOffset val="100"/>
        <c:noMultiLvlLbl val="0"/>
      </c:catAx>
      <c:valAx>
        <c:axId val="32808516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28087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 FINANZIA PROJECT.xlsm]pivot_tables!PivotTable7</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9D3C2"/>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barChart>
        <c:barDir val="bar"/>
        <c:grouping val="clustered"/>
        <c:varyColors val="0"/>
        <c:ser>
          <c:idx val="0"/>
          <c:order val="0"/>
          <c:tx>
            <c:strRef>
              <c:f>pivot_tables!$D$10</c:f>
              <c:strCache>
                <c:ptCount val="1"/>
                <c:pt idx="0">
                  <c:v>Total</c:v>
                </c:pt>
              </c:strCache>
            </c:strRef>
          </c:tx>
          <c:spPr>
            <a:solidFill>
              <a:schemeClr val="accent1"/>
            </a:solidFill>
            <a:ln>
              <a:noFill/>
            </a:ln>
            <a:effectLst/>
          </c:spPr>
          <c:invertIfNegative val="0"/>
          <c:dPt>
            <c:idx val="0"/>
            <c:invertIfNegative val="0"/>
            <c:bubble3D val="0"/>
            <c:spPr>
              <a:solidFill>
                <a:srgbClr val="59D3C2"/>
              </a:solidFill>
              <a:ln>
                <a:noFill/>
              </a:ln>
              <a:effectLst/>
            </c:spPr>
            <c:extLst>
              <c:ext xmlns:c16="http://schemas.microsoft.com/office/drawing/2014/chart" uri="{C3380CC4-5D6E-409C-BE32-E72D297353CC}">
                <c16:uniqueId val="{00000000-2EA8-47EC-937B-AB83A6BB4B80}"/>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1-2EA8-47EC-937B-AB83A6BB4B80}"/>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2-2EA8-47EC-937B-AB83A6BB4B8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pivot_tables!$C$11:$C$14</c:f>
              <c:strCache>
                <c:ptCount val="3"/>
                <c:pt idx="0">
                  <c:v>Approved</c:v>
                </c:pt>
                <c:pt idx="1">
                  <c:v>Refused</c:v>
                </c:pt>
                <c:pt idx="2">
                  <c:v>Revision</c:v>
                </c:pt>
              </c:strCache>
            </c:strRef>
          </c:cat>
          <c:val>
            <c:numRef>
              <c:f>pivot_tables!$D$11:$D$14</c:f>
              <c:numCache>
                <c:formatCode>0.00%</c:formatCode>
                <c:ptCount val="3"/>
                <c:pt idx="0">
                  <c:v>0.29048486730387391</c:v>
                </c:pt>
                <c:pt idx="1">
                  <c:v>1.0034135515629747</c:v>
                </c:pt>
                <c:pt idx="2">
                  <c:v>1.2859985941495831</c:v>
                </c:pt>
              </c:numCache>
            </c:numRef>
          </c:val>
          <c:extLst>
            <c:ext xmlns:c16="http://schemas.microsoft.com/office/drawing/2014/chart" uri="{C3380CC4-5D6E-409C-BE32-E72D297353CC}">
              <c16:uniqueId val="{00000000-9B41-4B19-B708-A26A212569BD}"/>
            </c:ext>
          </c:extLst>
        </c:ser>
        <c:dLbls>
          <c:dLblPos val="outEnd"/>
          <c:showLegendKey val="0"/>
          <c:showVal val="1"/>
          <c:showCatName val="0"/>
          <c:showSerName val="0"/>
          <c:showPercent val="0"/>
          <c:showBubbleSize val="0"/>
        </c:dLbls>
        <c:gapWidth val="269"/>
        <c:axId val="433497183"/>
        <c:axId val="433493343"/>
      </c:barChart>
      <c:catAx>
        <c:axId val="43349718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MX"/>
          </a:p>
        </c:txPr>
        <c:crossAx val="433493343"/>
        <c:crosses val="autoZero"/>
        <c:auto val="1"/>
        <c:lblAlgn val="ctr"/>
        <c:lblOffset val="100"/>
        <c:noMultiLvlLbl val="0"/>
      </c:catAx>
      <c:valAx>
        <c:axId val="43349334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3497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066926678517021"/>
          <c:y val="7.3132975852506971E-2"/>
          <c:w val="0.74020469379696341"/>
          <c:h val="0.63218562897761987"/>
        </c:manualLayout>
      </c:layout>
      <c:scatterChart>
        <c:scatterStyle val="lineMarker"/>
        <c:varyColors val="0"/>
        <c:ser>
          <c:idx val="0"/>
          <c:order val="0"/>
          <c:tx>
            <c:strRef>
              <c:f>Evaluations!$L$1</c:f>
              <c:strCache>
                <c:ptCount val="1"/>
                <c:pt idx="0">
                  <c:v>DTI Ratio</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xVal>
            <c:numRef>
              <c:f>Evaluations!$H$2:$H$603</c:f>
              <c:numCache>
                <c:formatCode>General</c:formatCode>
                <c:ptCount val="602"/>
                <c:pt idx="0">
                  <c:v>694</c:v>
                </c:pt>
                <c:pt idx="1">
                  <c:v>691</c:v>
                </c:pt>
                <c:pt idx="2">
                  <c:v>639</c:v>
                </c:pt>
                <c:pt idx="3">
                  <c:v>615</c:v>
                </c:pt>
                <c:pt idx="4">
                  <c:v>757</c:v>
                </c:pt>
                <c:pt idx="5">
                  <c:v>798</c:v>
                </c:pt>
                <c:pt idx="6">
                  <c:v>791</c:v>
                </c:pt>
                <c:pt idx="7">
                  <c:v>848</c:v>
                </c:pt>
                <c:pt idx="8">
                  <c:v>649</c:v>
                </c:pt>
                <c:pt idx="9">
                  <c:v>629</c:v>
                </c:pt>
                <c:pt idx="10">
                  <c:v>838</c:v>
                </c:pt>
                <c:pt idx="11">
                  <c:v>662</c:v>
                </c:pt>
                <c:pt idx="12">
                  <c:v>784</c:v>
                </c:pt>
                <c:pt idx="13">
                  <c:v>621</c:v>
                </c:pt>
                <c:pt idx="14">
                  <c:v>712</c:v>
                </c:pt>
                <c:pt idx="15">
                  <c:v>670</c:v>
                </c:pt>
                <c:pt idx="16">
                  <c:v>609</c:v>
                </c:pt>
                <c:pt idx="17">
                  <c:v>645</c:v>
                </c:pt>
                <c:pt idx="18">
                  <c:v>796</c:v>
                </c:pt>
                <c:pt idx="19">
                  <c:v>754</c:v>
                </c:pt>
                <c:pt idx="20">
                  <c:v>617</c:v>
                </c:pt>
                <c:pt idx="21">
                  <c:v>766</c:v>
                </c:pt>
                <c:pt idx="22">
                  <c:v>631</c:v>
                </c:pt>
                <c:pt idx="23">
                  <c:v>641</c:v>
                </c:pt>
                <c:pt idx="24">
                  <c:v>659</c:v>
                </c:pt>
                <c:pt idx="25">
                  <c:v>806</c:v>
                </c:pt>
                <c:pt idx="26">
                  <c:v>606</c:v>
                </c:pt>
                <c:pt idx="27">
                  <c:v>642</c:v>
                </c:pt>
                <c:pt idx="28">
                  <c:v>830</c:v>
                </c:pt>
                <c:pt idx="29">
                  <c:v>601</c:v>
                </c:pt>
                <c:pt idx="30">
                  <c:v>640</c:v>
                </c:pt>
                <c:pt idx="31">
                  <c:v>602</c:v>
                </c:pt>
                <c:pt idx="32">
                  <c:v>657</c:v>
                </c:pt>
                <c:pt idx="33">
                  <c:v>729</c:v>
                </c:pt>
                <c:pt idx="34">
                  <c:v>752</c:v>
                </c:pt>
                <c:pt idx="35">
                  <c:v>690</c:v>
                </c:pt>
                <c:pt idx="36">
                  <c:v>689</c:v>
                </c:pt>
                <c:pt idx="37">
                  <c:v>850</c:v>
                </c:pt>
                <c:pt idx="38">
                  <c:v>719</c:v>
                </c:pt>
                <c:pt idx="39">
                  <c:v>769</c:v>
                </c:pt>
                <c:pt idx="40">
                  <c:v>639</c:v>
                </c:pt>
                <c:pt idx="41">
                  <c:v>639</c:v>
                </c:pt>
                <c:pt idx="42">
                  <c:v>638</c:v>
                </c:pt>
                <c:pt idx="43">
                  <c:v>799</c:v>
                </c:pt>
                <c:pt idx="44">
                  <c:v>829</c:v>
                </c:pt>
                <c:pt idx="45">
                  <c:v>670</c:v>
                </c:pt>
                <c:pt idx="46">
                  <c:v>774</c:v>
                </c:pt>
                <c:pt idx="47">
                  <c:v>644</c:v>
                </c:pt>
                <c:pt idx="48">
                  <c:v>801</c:v>
                </c:pt>
                <c:pt idx="49">
                  <c:v>829</c:v>
                </c:pt>
                <c:pt idx="50">
                  <c:v>614</c:v>
                </c:pt>
                <c:pt idx="51">
                  <c:v>795</c:v>
                </c:pt>
                <c:pt idx="52">
                  <c:v>786</c:v>
                </c:pt>
                <c:pt idx="53">
                  <c:v>643</c:v>
                </c:pt>
                <c:pt idx="54">
                  <c:v>650</c:v>
                </c:pt>
                <c:pt idx="55">
                  <c:v>699</c:v>
                </c:pt>
                <c:pt idx="56">
                  <c:v>789</c:v>
                </c:pt>
                <c:pt idx="57">
                  <c:v>751</c:v>
                </c:pt>
                <c:pt idx="58">
                  <c:v>818</c:v>
                </c:pt>
                <c:pt idx="59">
                  <c:v>605</c:v>
                </c:pt>
                <c:pt idx="60">
                  <c:v>835</c:v>
                </c:pt>
                <c:pt idx="61">
                  <c:v>750</c:v>
                </c:pt>
                <c:pt idx="62">
                  <c:v>671</c:v>
                </c:pt>
                <c:pt idx="63">
                  <c:v>623</c:v>
                </c:pt>
                <c:pt idx="64">
                  <c:v>783</c:v>
                </c:pt>
                <c:pt idx="65">
                  <c:v>609</c:v>
                </c:pt>
                <c:pt idx="66">
                  <c:v>709</c:v>
                </c:pt>
                <c:pt idx="67">
                  <c:v>713</c:v>
                </c:pt>
                <c:pt idx="68">
                  <c:v>675</c:v>
                </c:pt>
                <c:pt idx="69">
                  <c:v>702</c:v>
                </c:pt>
                <c:pt idx="70">
                  <c:v>769</c:v>
                </c:pt>
                <c:pt idx="71">
                  <c:v>648</c:v>
                </c:pt>
                <c:pt idx="72">
                  <c:v>818</c:v>
                </c:pt>
                <c:pt idx="73">
                  <c:v>705</c:v>
                </c:pt>
                <c:pt idx="74">
                  <c:v>815</c:v>
                </c:pt>
                <c:pt idx="75">
                  <c:v>635</c:v>
                </c:pt>
                <c:pt idx="76">
                  <c:v>754</c:v>
                </c:pt>
                <c:pt idx="77">
                  <c:v>836</c:v>
                </c:pt>
                <c:pt idx="78">
                  <c:v>659</c:v>
                </c:pt>
                <c:pt idx="79">
                  <c:v>623</c:v>
                </c:pt>
                <c:pt idx="80">
                  <c:v>762</c:v>
                </c:pt>
                <c:pt idx="81">
                  <c:v>639</c:v>
                </c:pt>
                <c:pt idx="82">
                  <c:v>660</c:v>
                </c:pt>
                <c:pt idx="83">
                  <c:v>780</c:v>
                </c:pt>
                <c:pt idx="84">
                  <c:v>648</c:v>
                </c:pt>
                <c:pt idx="85">
                  <c:v>767</c:v>
                </c:pt>
                <c:pt idx="86">
                  <c:v>680</c:v>
                </c:pt>
                <c:pt idx="87">
                  <c:v>664</c:v>
                </c:pt>
                <c:pt idx="88">
                  <c:v>728</c:v>
                </c:pt>
                <c:pt idx="89">
                  <c:v>766</c:v>
                </c:pt>
                <c:pt idx="90">
                  <c:v>786</c:v>
                </c:pt>
                <c:pt idx="91">
                  <c:v>624</c:v>
                </c:pt>
                <c:pt idx="92">
                  <c:v>801</c:v>
                </c:pt>
                <c:pt idx="93">
                  <c:v>781</c:v>
                </c:pt>
                <c:pt idx="94">
                  <c:v>697</c:v>
                </c:pt>
                <c:pt idx="95">
                  <c:v>658</c:v>
                </c:pt>
                <c:pt idx="96">
                  <c:v>802</c:v>
                </c:pt>
                <c:pt idx="97">
                  <c:v>810</c:v>
                </c:pt>
                <c:pt idx="98">
                  <c:v>800</c:v>
                </c:pt>
                <c:pt idx="99">
                  <c:v>744</c:v>
                </c:pt>
                <c:pt idx="100">
                  <c:v>716</c:v>
                </c:pt>
                <c:pt idx="101">
                  <c:v>621</c:v>
                </c:pt>
                <c:pt idx="102">
                  <c:v>738</c:v>
                </c:pt>
                <c:pt idx="103">
                  <c:v>744</c:v>
                </c:pt>
                <c:pt idx="104">
                  <c:v>695</c:v>
                </c:pt>
                <c:pt idx="105">
                  <c:v>835</c:v>
                </c:pt>
                <c:pt idx="106">
                  <c:v>748</c:v>
                </c:pt>
                <c:pt idx="107">
                  <c:v>745</c:v>
                </c:pt>
                <c:pt idx="108">
                  <c:v>842</c:v>
                </c:pt>
                <c:pt idx="109">
                  <c:v>647</c:v>
                </c:pt>
                <c:pt idx="110">
                  <c:v>672</c:v>
                </c:pt>
                <c:pt idx="111">
                  <c:v>829</c:v>
                </c:pt>
                <c:pt idx="112">
                  <c:v>740</c:v>
                </c:pt>
                <c:pt idx="113">
                  <c:v>740</c:v>
                </c:pt>
                <c:pt idx="114">
                  <c:v>620</c:v>
                </c:pt>
                <c:pt idx="115">
                  <c:v>665</c:v>
                </c:pt>
                <c:pt idx="116">
                  <c:v>743</c:v>
                </c:pt>
                <c:pt idx="117">
                  <c:v>850</c:v>
                </c:pt>
                <c:pt idx="118">
                  <c:v>744</c:v>
                </c:pt>
                <c:pt idx="119">
                  <c:v>832</c:v>
                </c:pt>
                <c:pt idx="120">
                  <c:v>804</c:v>
                </c:pt>
                <c:pt idx="121">
                  <c:v>635</c:v>
                </c:pt>
                <c:pt idx="122">
                  <c:v>816</c:v>
                </c:pt>
                <c:pt idx="123">
                  <c:v>719</c:v>
                </c:pt>
                <c:pt idx="124">
                  <c:v>728</c:v>
                </c:pt>
                <c:pt idx="125">
                  <c:v>636</c:v>
                </c:pt>
                <c:pt idx="126">
                  <c:v>635</c:v>
                </c:pt>
                <c:pt idx="127">
                  <c:v>829</c:v>
                </c:pt>
                <c:pt idx="128">
                  <c:v>849</c:v>
                </c:pt>
                <c:pt idx="129">
                  <c:v>631</c:v>
                </c:pt>
                <c:pt idx="130">
                  <c:v>703</c:v>
                </c:pt>
                <c:pt idx="131">
                  <c:v>824</c:v>
                </c:pt>
                <c:pt idx="132">
                  <c:v>842</c:v>
                </c:pt>
                <c:pt idx="133">
                  <c:v>713</c:v>
                </c:pt>
                <c:pt idx="134">
                  <c:v>737</c:v>
                </c:pt>
                <c:pt idx="135">
                  <c:v>661</c:v>
                </c:pt>
                <c:pt idx="136">
                  <c:v>652</c:v>
                </c:pt>
                <c:pt idx="137">
                  <c:v>825</c:v>
                </c:pt>
                <c:pt idx="138">
                  <c:v>659</c:v>
                </c:pt>
                <c:pt idx="139">
                  <c:v>696</c:v>
                </c:pt>
                <c:pt idx="140">
                  <c:v>718</c:v>
                </c:pt>
                <c:pt idx="141">
                  <c:v>839</c:v>
                </c:pt>
                <c:pt idx="142">
                  <c:v>612</c:v>
                </c:pt>
                <c:pt idx="143">
                  <c:v>644</c:v>
                </c:pt>
                <c:pt idx="144">
                  <c:v>822</c:v>
                </c:pt>
                <c:pt idx="145">
                  <c:v>689</c:v>
                </c:pt>
                <c:pt idx="146">
                  <c:v>759</c:v>
                </c:pt>
                <c:pt idx="147">
                  <c:v>661</c:v>
                </c:pt>
                <c:pt idx="148">
                  <c:v>658</c:v>
                </c:pt>
                <c:pt idx="149">
                  <c:v>734</c:v>
                </c:pt>
                <c:pt idx="150">
                  <c:v>781</c:v>
                </c:pt>
                <c:pt idx="151">
                  <c:v>733</c:v>
                </c:pt>
                <c:pt idx="152">
                  <c:v>779</c:v>
                </c:pt>
                <c:pt idx="153">
                  <c:v>647</c:v>
                </c:pt>
                <c:pt idx="154">
                  <c:v>844</c:v>
                </c:pt>
                <c:pt idx="155">
                  <c:v>692</c:v>
                </c:pt>
                <c:pt idx="156">
                  <c:v>734</c:v>
                </c:pt>
                <c:pt idx="157">
                  <c:v>714</c:v>
                </c:pt>
                <c:pt idx="158">
                  <c:v>625</c:v>
                </c:pt>
                <c:pt idx="159">
                  <c:v>702</c:v>
                </c:pt>
                <c:pt idx="160">
                  <c:v>666</c:v>
                </c:pt>
                <c:pt idx="161">
                  <c:v>728</c:v>
                </c:pt>
                <c:pt idx="162">
                  <c:v>671</c:v>
                </c:pt>
                <c:pt idx="163">
                  <c:v>764</c:v>
                </c:pt>
                <c:pt idx="164">
                  <c:v>604</c:v>
                </c:pt>
                <c:pt idx="165">
                  <c:v>608</c:v>
                </c:pt>
                <c:pt idx="166">
                  <c:v>749</c:v>
                </c:pt>
                <c:pt idx="167">
                  <c:v>659</c:v>
                </c:pt>
                <c:pt idx="168">
                  <c:v>754</c:v>
                </c:pt>
                <c:pt idx="169">
                  <c:v>792</c:v>
                </c:pt>
                <c:pt idx="170">
                  <c:v>719</c:v>
                </c:pt>
                <c:pt idx="171">
                  <c:v>843</c:v>
                </c:pt>
                <c:pt idx="172">
                  <c:v>801</c:v>
                </c:pt>
                <c:pt idx="173">
                  <c:v>644</c:v>
                </c:pt>
                <c:pt idx="174">
                  <c:v>800</c:v>
                </c:pt>
                <c:pt idx="175">
                  <c:v>633</c:v>
                </c:pt>
                <c:pt idx="176">
                  <c:v>847</c:v>
                </c:pt>
                <c:pt idx="177">
                  <c:v>602</c:v>
                </c:pt>
                <c:pt idx="178">
                  <c:v>704</c:v>
                </c:pt>
                <c:pt idx="179">
                  <c:v>671</c:v>
                </c:pt>
                <c:pt idx="180">
                  <c:v>845</c:v>
                </c:pt>
                <c:pt idx="181">
                  <c:v>817</c:v>
                </c:pt>
                <c:pt idx="182">
                  <c:v>776</c:v>
                </c:pt>
                <c:pt idx="183">
                  <c:v>719</c:v>
                </c:pt>
                <c:pt idx="184">
                  <c:v>759</c:v>
                </c:pt>
                <c:pt idx="185">
                  <c:v>824</c:v>
                </c:pt>
                <c:pt idx="186">
                  <c:v>607</c:v>
                </c:pt>
                <c:pt idx="187">
                  <c:v>687</c:v>
                </c:pt>
                <c:pt idx="188">
                  <c:v>609</c:v>
                </c:pt>
                <c:pt idx="189">
                  <c:v>814</c:v>
                </c:pt>
                <c:pt idx="190">
                  <c:v>792</c:v>
                </c:pt>
                <c:pt idx="191">
                  <c:v>746</c:v>
                </c:pt>
                <c:pt idx="192">
                  <c:v>689</c:v>
                </c:pt>
                <c:pt idx="193">
                  <c:v>683</c:v>
                </c:pt>
                <c:pt idx="194">
                  <c:v>844</c:v>
                </c:pt>
                <c:pt idx="195">
                  <c:v>821</c:v>
                </c:pt>
                <c:pt idx="196">
                  <c:v>738</c:v>
                </c:pt>
                <c:pt idx="197">
                  <c:v>601</c:v>
                </c:pt>
                <c:pt idx="198">
                  <c:v>799</c:v>
                </c:pt>
                <c:pt idx="199">
                  <c:v>641</c:v>
                </c:pt>
                <c:pt idx="200">
                  <c:v>744</c:v>
                </c:pt>
                <c:pt idx="201">
                  <c:v>676</c:v>
                </c:pt>
                <c:pt idx="202">
                  <c:v>747</c:v>
                </c:pt>
                <c:pt idx="203">
                  <c:v>658</c:v>
                </c:pt>
                <c:pt idx="204">
                  <c:v>706</c:v>
                </c:pt>
                <c:pt idx="205">
                  <c:v>776</c:v>
                </c:pt>
                <c:pt idx="206">
                  <c:v>708</c:v>
                </c:pt>
                <c:pt idx="207">
                  <c:v>633</c:v>
                </c:pt>
                <c:pt idx="208">
                  <c:v>694</c:v>
                </c:pt>
                <c:pt idx="209">
                  <c:v>847</c:v>
                </c:pt>
                <c:pt idx="210">
                  <c:v>736</c:v>
                </c:pt>
                <c:pt idx="211">
                  <c:v>797</c:v>
                </c:pt>
                <c:pt idx="212">
                  <c:v>834</c:v>
                </c:pt>
                <c:pt idx="213">
                  <c:v>642</c:v>
                </c:pt>
                <c:pt idx="214">
                  <c:v>765</c:v>
                </c:pt>
                <c:pt idx="215">
                  <c:v>696</c:v>
                </c:pt>
                <c:pt idx="216">
                  <c:v>689</c:v>
                </c:pt>
                <c:pt idx="217">
                  <c:v>605</c:v>
                </c:pt>
                <c:pt idx="218">
                  <c:v>830</c:v>
                </c:pt>
                <c:pt idx="219">
                  <c:v>636</c:v>
                </c:pt>
                <c:pt idx="220">
                  <c:v>758</c:v>
                </c:pt>
                <c:pt idx="221">
                  <c:v>832</c:v>
                </c:pt>
                <c:pt idx="222">
                  <c:v>711</c:v>
                </c:pt>
                <c:pt idx="223">
                  <c:v>802</c:v>
                </c:pt>
                <c:pt idx="224">
                  <c:v>688</c:v>
                </c:pt>
                <c:pt idx="225">
                  <c:v>692</c:v>
                </c:pt>
                <c:pt idx="226">
                  <c:v>619</c:v>
                </c:pt>
                <c:pt idx="227">
                  <c:v>600</c:v>
                </c:pt>
                <c:pt idx="228">
                  <c:v>780</c:v>
                </c:pt>
                <c:pt idx="229">
                  <c:v>688</c:v>
                </c:pt>
                <c:pt idx="230">
                  <c:v>785</c:v>
                </c:pt>
                <c:pt idx="231">
                  <c:v>687</c:v>
                </c:pt>
                <c:pt idx="232">
                  <c:v>749</c:v>
                </c:pt>
                <c:pt idx="233">
                  <c:v>623</c:v>
                </c:pt>
                <c:pt idx="234">
                  <c:v>667</c:v>
                </c:pt>
                <c:pt idx="235">
                  <c:v>701</c:v>
                </c:pt>
                <c:pt idx="236">
                  <c:v>700</c:v>
                </c:pt>
                <c:pt idx="237">
                  <c:v>663</c:v>
                </c:pt>
                <c:pt idx="238">
                  <c:v>836</c:v>
                </c:pt>
                <c:pt idx="239">
                  <c:v>794</c:v>
                </c:pt>
                <c:pt idx="240">
                  <c:v>632</c:v>
                </c:pt>
                <c:pt idx="241">
                  <c:v>754</c:v>
                </c:pt>
                <c:pt idx="242">
                  <c:v>787</c:v>
                </c:pt>
                <c:pt idx="243">
                  <c:v>625</c:v>
                </c:pt>
                <c:pt idx="244">
                  <c:v>751</c:v>
                </c:pt>
                <c:pt idx="245">
                  <c:v>616</c:v>
                </c:pt>
                <c:pt idx="246">
                  <c:v>780</c:v>
                </c:pt>
                <c:pt idx="247">
                  <c:v>759</c:v>
                </c:pt>
                <c:pt idx="248">
                  <c:v>736</c:v>
                </c:pt>
                <c:pt idx="249">
                  <c:v>645</c:v>
                </c:pt>
                <c:pt idx="250">
                  <c:v>613</c:v>
                </c:pt>
                <c:pt idx="251">
                  <c:v>607</c:v>
                </c:pt>
                <c:pt idx="252">
                  <c:v>629</c:v>
                </c:pt>
                <c:pt idx="253">
                  <c:v>809</c:v>
                </c:pt>
                <c:pt idx="254">
                  <c:v>817</c:v>
                </c:pt>
                <c:pt idx="255">
                  <c:v>704</c:v>
                </c:pt>
                <c:pt idx="256">
                  <c:v>610</c:v>
                </c:pt>
                <c:pt idx="257">
                  <c:v>660</c:v>
                </c:pt>
                <c:pt idx="258">
                  <c:v>633</c:v>
                </c:pt>
                <c:pt idx="259">
                  <c:v>792</c:v>
                </c:pt>
                <c:pt idx="260">
                  <c:v>827</c:v>
                </c:pt>
                <c:pt idx="261">
                  <c:v>629</c:v>
                </c:pt>
                <c:pt idx="262">
                  <c:v>617</c:v>
                </c:pt>
                <c:pt idx="263">
                  <c:v>686</c:v>
                </c:pt>
                <c:pt idx="264">
                  <c:v>819</c:v>
                </c:pt>
                <c:pt idx="265">
                  <c:v>673</c:v>
                </c:pt>
                <c:pt idx="266">
                  <c:v>751</c:v>
                </c:pt>
                <c:pt idx="267">
                  <c:v>680</c:v>
                </c:pt>
                <c:pt idx="268">
                  <c:v>699</c:v>
                </c:pt>
                <c:pt idx="269">
                  <c:v>710</c:v>
                </c:pt>
                <c:pt idx="270">
                  <c:v>614</c:v>
                </c:pt>
                <c:pt idx="271">
                  <c:v>710</c:v>
                </c:pt>
                <c:pt idx="272">
                  <c:v>698</c:v>
                </c:pt>
                <c:pt idx="273">
                  <c:v>790</c:v>
                </c:pt>
                <c:pt idx="274">
                  <c:v>660</c:v>
                </c:pt>
                <c:pt idx="275">
                  <c:v>690</c:v>
                </c:pt>
                <c:pt idx="276">
                  <c:v>640</c:v>
                </c:pt>
                <c:pt idx="277">
                  <c:v>641</c:v>
                </c:pt>
                <c:pt idx="278">
                  <c:v>822</c:v>
                </c:pt>
                <c:pt idx="279">
                  <c:v>605</c:v>
                </c:pt>
                <c:pt idx="280">
                  <c:v>647</c:v>
                </c:pt>
                <c:pt idx="281">
                  <c:v>849</c:v>
                </c:pt>
                <c:pt idx="282">
                  <c:v>620</c:v>
                </c:pt>
                <c:pt idx="283">
                  <c:v>680</c:v>
                </c:pt>
                <c:pt idx="284">
                  <c:v>724</c:v>
                </c:pt>
                <c:pt idx="285">
                  <c:v>849</c:v>
                </c:pt>
                <c:pt idx="286">
                  <c:v>712</c:v>
                </c:pt>
                <c:pt idx="287">
                  <c:v>818</c:v>
                </c:pt>
                <c:pt idx="288">
                  <c:v>700</c:v>
                </c:pt>
                <c:pt idx="289">
                  <c:v>720</c:v>
                </c:pt>
                <c:pt idx="290">
                  <c:v>638</c:v>
                </c:pt>
                <c:pt idx="291">
                  <c:v>656</c:v>
                </c:pt>
                <c:pt idx="292">
                  <c:v>639</c:v>
                </c:pt>
                <c:pt idx="293">
                  <c:v>741</c:v>
                </c:pt>
                <c:pt idx="294">
                  <c:v>745</c:v>
                </c:pt>
                <c:pt idx="295">
                  <c:v>719</c:v>
                </c:pt>
                <c:pt idx="296">
                  <c:v>812</c:v>
                </c:pt>
                <c:pt idx="297">
                  <c:v>832</c:v>
                </c:pt>
                <c:pt idx="298">
                  <c:v>827</c:v>
                </c:pt>
                <c:pt idx="299">
                  <c:v>626</c:v>
                </c:pt>
                <c:pt idx="300">
                  <c:v>605</c:v>
                </c:pt>
                <c:pt idx="301">
                  <c:v>695</c:v>
                </c:pt>
                <c:pt idx="302">
                  <c:v>745</c:v>
                </c:pt>
                <c:pt idx="303">
                  <c:v>835</c:v>
                </c:pt>
                <c:pt idx="304">
                  <c:v>631</c:v>
                </c:pt>
                <c:pt idx="305">
                  <c:v>607</c:v>
                </c:pt>
                <c:pt idx="306">
                  <c:v>716</c:v>
                </c:pt>
                <c:pt idx="307">
                  <c:v>810</c:v>
                </c:pt>
                <c:pt idx="308">
                  <c:v>827</c:v>
                </c:pt>
                <c:pt idx="309">
                  <c:v>742</c:v>
                </c:pt>
                <c:pt idx="310">
                  <c:v>782</c:v>
                </c:pt>
                <c:pt idx="311">
                  <c:v>782</c:v>
                </c:pt>
                <c:pt idx="312">
                  <c:v>661</c:v>
                </c:pt>
                <c:pt idx="313">
                  <c:v>694</c:v>
                </c:pt>
                <c:pt idx="314">
                  <c:v>746</c:v>
                </c:pt>
                <c:pt idx="315">
                  <c:v>822</c:v>
                </c:pt>
                <c:pt idx="316">
                  <c:v>775</c:v>
                </c:pt>
                <c:pt idx="317">
                  <c:v>727</c:v>
                </c:pt>
                <c:pt idx="318">
                  <c:v>823</c:v>
                </c:pt>
                <c:pt idx="319">
                  <c:v>742</c:v>
                </c:pt>
                <c:pt idx="320">
                  <c:v>814</c:v>
                </c:pt>
                <c:pt idx="321">
                  <c:v>765</c:v>
                </c:pt>
                <c:pt idx="322">
                  <c:v>839</c:v>
                </c:pt>
                <c:pt idx="323">
                  <c:v>765</c:v>
                </c:pt>
                <c:pt idx="324">
                  <c:v>637</c:v>
                </c:pt>
                <c:pt idx="325">
                  <c:v>610</c:v>
                </c:pt>
                <c:pt idx="326">
                  <c:v>792</c:v>
                </c:pt>
                <c:pt idx="327">
                  <c:v>753</c:v>
                </c:pt>
                <c:pt idx="328">
                  <c:v>683</c:v>
                </c:pt>
                <c:pt idx="329">
                  <c:v>732</c:v>
                </c:pt>
                <c:pt idx="330">
                  <c:v>844</c:v>
                </c:pt>
                <c:pt idx="331">
                  <c:v>739</c:v>
                </c:pt>
                <c:pt idx="332">
                  <c:v>633</c:v>
                </c:pt>
                <c:pt idx="333">
                  <c:v>734</c:v>
                </c:pt>
                <c:pt idx="334">
                  <c:v>711</c:v>
                </c:pt>
                <c:pt idx="335">
                  <c:v>834</c:v>
                </c:pt>
                <c:pt idx="336">
                  <c:v>781</c:v>
                </c:pt>
                <c:pt idx="337">
                  <c:v>779</c:v>
                </c:pt>
                <c:pt idx="338">
                  <c:v>697</c:v>
                </c:pt>
                <c:pt idx="339">
                  <c:v>649</c:v>
                </c:pt>
                <c:pt idx="340">
                  <c:v>651</c:v>
                </c:pt>
                <c:pt idx="341">
                  <c:v>670</c:v>
                </c:pt>
                <c:pt idx="342">
                  <c:v>817</c:v>
                </c:pt>
                <c:pt idx="343">
                  <c:v>790</c:v>
                </c:pt>
                <c:pt idx="344">
                  <c:v>648</c:v>
                </c:pt>
                <c:pt idx="345">
                  <c:v>604</c:v>
                </c:pt>
                <c:pt idx="346">
                  <c:v>788</c:v>
                </c:pt>
                <c:pt idx="347">
                  <c:v>739</c:v>
                </c:pt>
                <c:pt idx="348">
                  <c:v>620</c:v>
                </c:pt>
                <c:pt idx="349">
                  <c:v>639</c:v>
                </c:pt>
                <c:pt idx="350">
                  <c:v>828</c:v>
                </c:pt>
                <c:pt idx="351">
                  <c:v>776</c:v>
                </c:pt>
                <c:pt idx="352">
                  <c:v>644</c:v>
                </c:pt>
                <c:pt idx="353">
                  <c:v>780</c:v>
                </c:pt>
                <c:pt idx="354">
                  <c:v>655</c:v>
                </c:pt>
                <c:pt idx="355">
                  <c:v>805</c:v>
                </c:pt>
                <c:pt idx="356">
                  <c:v>652</c:v>
                </c:pt>
                <c:pt idx="357">
                  <c:v>619</c:v>
                </c:pt>
                <c:pt idx="358">
                  <c:v>849</c:v>
                </c:pt>
                <c:pt idx="359">
                  <c:v>773</c:v>
                </c:pt>
                <c:pt idx="360">
                  <c:v>710</c:v>
                </c:pt>
                <c:pt idx="361">
                  <c:v>626</c:v>
                </c:pt>
                <c:pt idx="362">
                  <c:v>753</c:v>
                </c:pt>
                <c:pt idx="363">
                  <c:v>815</c:v>
                </c:pt>
                <c:pt idx="364">
                  <c:v>634</c:v>
                </c:pt>
                <c:pt idx="365">
                  <c:v>700</c:v>
                </c:pt>
                <c:pt idx="366">
                  <c:v>832</c:v>
                </c:pt>
                <c:pt idx="367">
                  <c:v>612</c:v>
                </c:pt>
                <c:pt idx="368">
                  <c:v>796</c:v>
                </c:pt>
                <c:pt idx="369">
                  <c:v>603</c:v>
                </c:pt>
                <c:pt idx="370">
                  <c:v>787</c:v>
                </c:pt>
                <c:pt idx="371">
                  <c:v>785</c:v>
                </c:pt>
                <c:pt idx="372">
                  <c:v>781</c:v>
                </c:pt>
                <c:pt idx="373">
                  <c:v>828</c:v>
                </c:pt>
                <c:pt idx="374">
                  <c:v>736</c:v>
                </c:pt>
                <c:pt idx="375">
                  <c:v>694</c:v>
                </c:pt>
                <c:pt idx="376">
                  <c:v>613</c:v>
                </c:pt>
                <c:pt idx="377">
                  <c:v>817</c:v>
                </c:pt>
                <c:pt idx="378">
                  <c:v>693</c:v>
                </c:pt>
                <c:pt idx="379">
                  <c:v>832</c:v>
                </c:pt>
                <c:pt idx="380">
                  <c:v>822</c:v>
                </c:pt>
                <c:pt idx="381">
                  <c:v>703</c:v>
                </c:pt>
                <c:pt idx="382">
                  <c:v>675</c:v>
                </c:pt>
                <c:pt idx="383">
                  <c:v>845</c:v>
                </c:pt>
                <c:pt idx="384">
                  <c:v>675</c:v>
                </c:pt>
                <c:pt idx="385">
                  <c:v>616</c:v>
                </c:pt>
                <c:pt idx="386">
                  <c:v>692</c:v>
                </c:pt>
                <c:pt idx="387">
                  <c:v>657</c:v>
                </c:pt>
                <c:pt idx="388">
                  <c:v>704</c:v>
                </c:pt>
                <c:pt idx="389">
                  <c:v>829</c:v>
                </c:pt>
                <c:pt idx="390">
                  <c:v>771</c:v>
                </c:pt>
                <c:pt idx="391">
                  <c:v>657</c:v>
                </c:pt>
                <c:pt idx="392">
                  <c:v>694</c:v>
                </c:pt>
                <c:pt idx="393">
                  <c:v>831</c:v>
                </c:pt>
                <c:pt idx="394">
                  <c:v>770</c:v>
                </c:pt>
                <c:pt idx="395">
                  <c:v>634</c:v>
                </c:pt>
                <c:pt idx="396">
                  <c:v>715</c:v>
                </c:pt>
                <c:pt idx="397">
                  <c:v>683</c:v>
                </c:pt>
                <c:pt idx="398">
                  <c:v>802</c:v>
                </c:pt>
                <c:pt idx="399">
                  <c:v>685</c:v>
                </c:pt>
                <c:pt idx="400">
                  <c:v>844</c:v>
                </c:pt>
                <c:pt idx="401">
                  <c:v>628</c:v>
                </c:pt>
                <c:pt idx="402">
                  <c:v>697</c:v>
                </c:pt>
                <c:pt idx="403">
                  <c:v>700</c:v>
                </c:pt>
                <c:pt idx="404">
                  <c:v>735</c:v>
                </c:pt>
                <c:pt idx="405">
                  <c:v>727</c:v>
                </c:pt>
                <c:pt idx="406">
                  <c:v>609</c:v>
                </c:pt>
                <c:pt idx="407">
                  <c:v>789</c:v>
                </c:pt>
                <c:pt idx="408">
                  <c:v>712</c:v>
                </c:pt>
                <c:pt idx="409">
                  <c:v>779</c:v>
                </c:pt>
                <c:pt idx="410">
                  <c:v>761</c:v>
                </c:pt>
                <c:pt idx="411">
                  <c:v>747</c:v>
                </c:pt>
                <c:pt idx="412">
                  <c:v>692</c:v>
                </c:pt>
                <c:pt idx="413">
                  <c:v>664</c:v>
                </c:pt>
                <c:pt idx="414">
                  <c:v>718</c:v>
                </c:pt>
                <c:pt idx="415">
                  <c:v>708</c:v>
                </c:pt>
                <c:pt idx="416">
                  <c:v>711</c:v>
                </c:pt>
                <c:pt idx="417">
                  <c:v>650</c:v>
                </c:pt>
                <c:pt idx="418">
                  <c:v>643</c:v>
                </c:pt>
                <c:pt idx="419">
                  <c:v>611</c:v>
                </c:pt>
                <c:pt idx="420">
                  <c:v>817</c:v>
                </c:pt>
                <c:pt idx="421">
                  <c:v>702</c:v>
                </c:pt>
                <c:pt idx="422">
                  <c:v>700</c:v>
                </c:pt>
                <c:pt idx="423">
                  <c:v>647</c:v>
                </c:pt>
                <c:pt idx="424">
                  <c:v>765</c:v>
                </c:pt>
                <c:pt idx="425">
                  <c:v>725</c:v>
                </c:pt>
                <c:pt idx="426">
                  <c:v>837</c:v>
                </c:pt>
                <c:pt idx="427">
                  <c:v>612</c:v>
                </c:pt>
                <c:pt idx="428">
                  <c:v>714</c:v>
                </c:pt>
                <c:pt idx="429">
                  <c:v>665</c:v>
                </c:pt>
                <c:pt idx="430">
                  <c:v>769</c:v>
                </c:pt>
                <c:pt idx="431">
                  <c:v>769</c:v>
                </c:pt>
                <c:pt idx="432">
                  <c:v>738</c:v>
                </c:pt>
                <c:pt idx="433">
                  <c:v>791</c:v>
                </c:pt>
                <c:pt idx="434">
                  <c:v>714</c:v>
                </c:pt>
                <c:pt idx="435">
                  <c:v>777</c:v>
                </c:pt>
                <c:pt idx="436">
                  <c:v>701</c:v>
                </c:pt>
                <c:pt idx="437">
                  <c:v>666</c:v>
                </c:pt>
                <c:pt idx="438">
                  <c:v>765</c:v>
                </c:pt>
                <c:pt idx="439">
                  <c:v>653</c:v>
                </c:pt>
                <c:pt idx="440">
                  <c:v>849</c:v>
                </c:pt>
                <c:pt idx="441">
                  <c:v>825</c:v>
                </c:pt>
                <c:pt idx="442">
                  <c:v>659</c:v>
                </c:pt>
                <c:pt idx="443">
                  <c:v>707</c:v>
                </c:pt>
                <c:pt idx="444">
                  <c:v>845</c:v>
                </c:pt>
                <c:pt idx="445">
                  <c:v>648</c:v>
                </c:pt>
                <c:pt idx="446">
                  <c:v>762</c:v>
                </c:pt>
                <c:pt idx="447">
                  <c:v>628</c:v>
                </c:pt>
                <c:pt idx="448">
                  <c:v>626</c:v>
                </c:pt>
                <c:pt idx="449">
                  <c:v>682</c:v>
                </c:pt>
                <c:pt idx="450">
                  <c:v>634</c:v>
                </c:pt>
                <c:pt idx="451">
                  <c:v>735</c:v>
                </c:pt>
                <c:pt idx="452">
                  <c:v>609</c:v>
                </c:pt>
                <c:pt idx="453">
                  <c:v>610</c:v>
                </c:pt>
                <c:pt idx="454">
                  <c:v>662</c:v>
                </c:pt>
                <c:pt idx="455">
                  <c:v>818</c:v>
                </c:pt>
                <c:pt idx="456">
                  <c:v>676</c:v>
                </c:pt>
                <c:pt idx="457">
                  <c:v>672</c:v>
                </c:pt>
                <c:pt idx="458">
                  <c:v>791</c:v>
                </c:pt>
                <c:pt idx="459">
                  <c:v>628</c:v>
                </c:pt>
                <c:pt idx="460">
                  <c:v>820</c:v>
                </c:pt>
                <c:pt idx="461">
                  <c:v>790</c:v>
                </c:pt>
                <c:pt idx="462">
                  <c:v>681</c:v>
                </c:pt>
                <c:pt idx="463">
                  <c:v>774</c:v>
                </c:pt>
                <c:pt idx="464">
                  <c:v>619</c:v>
                </c:pt>
                <c:pt idx="465">
                  <c:v>763</c:v>
                </c:pt>
                <c:pt idx="466">
                  <c:v>745</c:v>
                </c:pt>
                <c:pt idx="467">
                  <c:v>733</c:v>
                </c:pt>
                <c:pt idx="468">
                  <c:v>647</c:v>
                </c:pt>
                <c:pt idx="469">
                  <c:v>625</c:v>
                </c:pt>
                <c:pt idx="470">
                  <c:v>790</c:v>
                </c:pt>
                <c:pt idx="471">
                  <c:v>670</c:v>
                </c:pt>
                <c:pt idx="472">
                  <c:v>797</c:v>
                </c:pt>
                <c:pt idx="473">
                  <c:v>807</c:v>
                </c:pt>
                <c:pt idx="474">
                  <c:v>683</c:v>
                </c:pt>
                <c:pt idx="475">
                  <c:v>652</c:v>
                </c:pt>
                <c:pt idx="476">
                  <c:v>784</c:v>
                </c:pt>
                <c:pt idx="477">
                  <c:v>759</c:v>
                </c:pt>
                <c:pt idx="478">
                  <c:v>676</c:v>
                </c:pt>
                <c:pt idx="479">
                  <c:v>636</c:v>
                </c:pt>
                <c:pt idx="480">
                  <c:v>796</c:v>
                </c:pt>
                <c:pt idx="481">
                  <c:v>620</c:v>
                </c:pt>
                <c:pt idx="482">
                  <c:v>605</c:v>
                </c:pt>
                <c:pt idx="483">
                  <c:v>628</c:v>
                </c:pt>
                <c:pt idx="484">
                  <c:v>635</c:v>
                </c:pt>
                <c:pt idx="485">
                  <c:v>657</c:v>
                </c:pt>
                <c:pt idx="486">
                  <c:v>621</c:v>
                </c:pt>
                <c:pt idx="487">
                  <c:v>752</c:v>
                </c:pt>
                <c:pt idx="488">
                  <c:v>677</c:v>
                </c:pt>
                <c:pt idx="489">
                  <c:v>646</c:v>
                </c:pt>
                <c:pt idx="490">
                  <c:v>637</c:v>
                </c:pt>
                <c:pt idx="491">
                  <c:v>693</c:v>
                </c:pt>
                <c:pt idx="492">
                  <c:v>636</c:v>
                </c:pt>
                <c:pt idx="493">
                  <c:v>664</c:v>
                </c:pt>
                <c:pt idx="494">
                  <c:v>809</c:v>
                </c:pt>
                <c:pt idx="495">
                  <c:v>826</c:v>
                </c:pt>
                <c:pt idx="496">
                  <c:v>684</c:v>
                </c:pt>
                <c:pt idx="497">
                  <c:v>611</c:v>
                </c:pt>
                <c:pt idx="498">
                  <c:v>840</c:v>
                </c:pt>
                <c:pt idx="499">
                  <c:v>621</c:v>
                </c:pt>
                <c:pt idx="500">
                  <c:v>582</c:v>
                </c:pt>
                <c:pt idx="501">
                  <c:v>771</c:v>
                </c:pt>
                <c:pt idx="502">
                  <c:v>824</c:v>
                </c:pt>
                <c:pt idx="503">
                  <c:v>614</c:v>
                </c:pt>
                <c:pt idx="504">
                  <c:v>772</c:v>
                </c:pt>
                <c:pt idx="505">
                  <c:v>797</c:v>
                </c:pt>
                <c:pt idx="506">
                  <c:v>690</c:v>
                </c:pt>
                <c:pt idx="507">
                  <c:v>582</c:v>
                </c:pt>
                <c:pt idx="508">
                  <c:v>721</c:v>
                </c:pt>
                <c:pt idx="509">
                  <c:v>817</c:v>
                </c:pt>
                <c:pt idx="510">
                  <c:v>809</c:v>
                </c:pt>
                <c:pt idx="511">
                  <c:v>624</c:v>
                </c:pt>
                <c:pt idx="512">
                  <c:v>813</c:v>
                </c:pt>
                <c:pt idx="513">
                  <c:v>666</c:v>
                </c:pt>
                <c:pt idx="514">
                  <c:v>810</c:v>
                </c:pt>
                <c:pt idx="515">
                  <c:v>740</c:v>
                </c:pt>
                <c:pt idx="516">
                  <c:v>613</c:v>
                </c:pt>
                <c:pt idx="517">
                  <c:v>704</c:v>
                </c:pt>
                <c:pt idx="518">
                  <c:v>697</c:v>
                </c:pt>
                <c:pt idx="519">
                  <c:v>723</c:v>
                </c:pt>
                <c:pt idx="520">
                  <c:v>829</c:v>
                </c:pt>
                <c:pt idx="521">
                  <c:v>774</c:v>
                </c:pt>
                <c:pt idx="522">
                  <c:v>611</c:v>
                </c:pt>
                <c:pt idx="523">
                  <c:v>680</c:v>
                </c:pt>
                <c:pt idx="524">
                  <c:v>810</c:v>
                </c:pt>
                <c:pt idx="525">
                  <c:v>707</c:v>
                </c:pt>
                <c:pt idx="526">
                  <c:v>797</c:v>
                </c:pt>
                <c:pt idx="527">
                  <c:v>624</c:v>
                </c:pt>
                <c:pt idx="528">
                  <c:v>730</c:v>
                </c:pt>
                <c:pt idx="529">
                  <c:v>841</c:v>
                </c:pt>
                <c:pt idx="530">
                  <c:v>733</c:v>
                </c:pt>
                <c:pt idx="531">
                  <c:v>769</c:v>
                </c:pt>
                <c:pt idx="532">
                  <c:v>669</c:v>
                </c:pt>
                <c:pt idx="533">
                  <c:v>700</c:v>
                </c:pt>
                <c:pt idx="534">
                  <c:v>767</c:v>
                </c:pt>
                <c:pt idx="535">
                  <c:v>804</c:v>
                </c:pt>
                <c:pt idx="536">
                  <c:v>605</c:v>
                </c:pt>
                <c:pt idx="537">
                  <c:v>734</c:v>
                </c:pt>
                <c:pt idx="538">
                  <c:v>748</c:v>
                </c:pt>
                <c:pt idx="539">
                  <c:v>846</c:v>
                </c:pt>
                <c:pt idx="540">
                  <c:v>829</c:v>
                </c:pt>
                <c:pt idx="541">
                  <c:v>812</c:v>
                </c:pt>
                <c:pt idx="542">
                  <c:v>620</c:v>
                </c:pt>
                <c:pt idx="543">
                  <c:v>728</c:v>
                </c:pt>
                <c:pt idx="544">
                  <c:v>791</c:v>
                </c:pt>
                <c:pt idx="545">
                  <c:v>683</c:v>
                </c:pt>
                <c:pt idx="546">
                  <c:v>803</c:v>
                </c:pt>
                <c:pt idx="547">
                  <c:v>674</c:v>
                </c:pt>
                <c:pt idx="548">
                  <c:v>745</c:v>
                </c:pt>
                <c:pt idx="549">
                  <c:v>612</c:v>
                </c:pt>
                <c:pt idx="550">
                  <c:v>834</c:v>
                </c:pt>
                <c:pt idx="551">
                  <c:v>844</c:v>
                </c:pt>
                <c:pt idx="552">
                  <c:v>791</c:v>
                </c:pt>
                <c:pt idx="553">
                  <c:v>824</c:v>
                </c:pt>
                <c:pt idx="554">
                  <c:v>780</c:v>
                </c:pt>
                <c:pt idx="555">
                  <c:v>790</c:v>
                </c:pt>
                <c:pt idx="556">
                  <c:v>782</c:v>
                </c:pt>
                <c:pt idx="557">
                  <c:v>732</c:v>
                </c:pt>
                <c:pt idx="558">
                  <c:v>600</c:v>
                </c:pt>
                <c:pt idx="559">
                  <c:v>642</c:v>
                </c:pt>
                <c:pt idx="560">
                  <c:v>831</c:v>
                </c:pt>
                <c:pt idx="561">
                  <c:v>674</c:v>
                </c:pt>
                <c:pt idx="562">
                  <c:v>702</c:v>
                </c:pt>
                <c:pt idx="563">
                  <c:v>762</c:v>
                </c:pt>
                <c:pt idx="564">
                  <c:v>772</c:v>
                </c:pt>
                <c:pt idx="565">
                  <c:v>601</c:v>
                </c:pt>
                <c:pt idx="566">
                  <c:v>751</c:v>
                </c:pt>
                <c:pt idx="567">
                  <c:v>679</c:v>
                </c:pt>
                <c:pt idx="568">
                  <c:v>629</c:v>
                </c:pt>
                <c:pt idx="569">
                  <c:v>682</c:v>
                </c:pt>
                <c:pt idx="570">
                  <c:v>708</c:v>
                </c:pt>
                <c:pt idx="571">
                  <c:v>722</c:v>
                </c:pt>
                <c:pt idx="572">
                  <c:v>757</c:v>
                </c:pt>
                <c:pt idx="573">
                  <c:v>734</c:v>
                </c:pt>
                <c:pt idx="574">
                  <c:v>616</c:v>
                </c:pt>
                <c:pt idx="575">
                  <c:v>676</c:v>
                </c:pt>
                <c:pt idx="576">
                  <c:v>641</c:v>
                </c:pt>
                <c:pt idx="577">
                  <c:v>708</c:v>
                </c:pt>
                <c:pt idx="578">
                  <c:v>656</c:v>
                </c:pt>
                <c:pt idx="579">
                  <c:v>687</c:v>
                </c:pt>
                <c:pt idx="580">
                  <c:v>732</c:v>
                </c:pt>
                <c:pt idx="581">
                  <c:v>729</c:v>
                </c:pt>
                <c:pt idx="582">
                  <c:v>696</c:v>
                </c:pt>
                <c:pt idx="583">
                  <c:v>624</c:v>
                </c:pt>
                <c:pt idx="584">
                  <c:v>771</c:v>
                </c:pt>
                <c:pt idx="585">
                  <c:v>757</c:v>
                </c:pt>
                <c:pt idx="586">
                  <c:v>689</c:v>
                </c:pt>
                <c:pt idx="587">
                  <c:v>600</c:v>
                </c:pt>
                <c:pt idx="588">
                  <c:v>844</c:v>
                </c:pt>
                <c:pt idx="589">
                  <c:v>680</c:v>
                </c:pt>
                <c:pt idx="590">
                  <c:v>794</c:v>
                </c:pt>
                <c:pt idx="591">
                  <c:v>845</c:v>
                </c:pt>
                <c:pt idx="592">
                  <c:v>586</c:v>
                </c:pt>
                <c:pt idx="593">
                  <c:v>843</c:v>
                </c:pt>
                <c:pt idx="594">
                  <c:v>704</c:v>
                </c:pt>
                <c:pt idx="595">
                  <c:v>670</c:v>
                </c:pt>
                <c:pt idx="596">
                  <c:v>764</c:v>
                </c:pt>
                <c:pt idx="597">
                  <c:v>713</c:v>
                </c:pt>
                <c:pt idx="598">
                  <c:v>736</c:v>
                </c:pt>
                <c:pt idx="599">
                  <c:v>798</c:v>
                </c:pt>
                <c:pt idx="600">
                  <c:v>798</c:v>
                </c:pt>
                <c:pt idx="601">
                  <c:v>798</c:v>
                </c:pt>
              </c:numCache>
            </c:numRef>
          </c:xVal>
          <c:yVal>
            <c:numRef>
              <c:f>Evaluations!$L$2:$L$603</c:f>
              <c:numCache>
                <c:formatCode>0.00%</c:formatCode>
                <c:ptCount val="602"/>
                <c:pt idx="0">
                  <c:v>1.0268839866985152E-2</c:v>
                </c:pt>
                <c:pt idx="1">
                  <c:v>1.3451319035870183E-2</c:v>
                </c:pt>
                <c:pt idx="2" formatCode="&quot;$&quot;#,##0.00">
                  <c:v>1.5341226100564742</c:v>
                </c:pt>
                <c:pt idx="3">
                  <c:v>2.4809753651350843</c:v>
                </c:pt>
                <c:pt idx="4">
                  <c:v>0.12223287494812758</c:v>
                </c:pt>
                <c:pt idx="5">
                  <c:v>0.40306556222216822</c:v>
                </c:pt>
                <c:pt idx="6">
                  <c:v>0.82437223475636556</c:v>
                </c:pt>
                <c:pt idx="7">
                  <c:v>0.40559517279210094</c:v>
                </c:pt>
                <c:pt idx="8">
                  <c:v>0.51614492119089317</c:v>
                </c:pt>
                <c:pt idx="9">
                  <c:v>1.2752175578786054</c:v>
                </c:pt>
                <c:pt idx="10">
                  <c:v>8.8296094678633572E-2</c:v>
                </c:pt>
                <c:pt idx="11">
                  <c:v>0.346526231278733</c:v>
                </c:pt>
                <c:pt idx="12">
                  <c:v>0.17357783395590437</c:v>
                </c:pt>
                <c:pt idx="13">
                  <c:v>0.42250669513440886</c:v>
                </c:pt>
                <c:pt idx="14">
                  <c:v>0.53378514200384808</c:v>
                </c:pt>
                <c:pt idx="15">
                  <c:v>1.5644238471220964</c:v>
                </c:pt>
                <c:pt idx="16">
                  <c:v>0.55644349455621123</c:v>
                </c:pt>
                <c:pt idx="17">
                  <c:v>0.45490284681427928</c:v>
                </c:pt>
                <c:pt idx="18">
                  <c:v>0.41965764289574148</c:v>
                </c:pt>
                <c:pt idx="19">
                  <c:v>0.47731404791725585</c:v>
                </c:pt>
                <c:pt idx="20">
                  <c:v>0.34800499329603773</c:v>
                </c:pt>
                <c:pt idx="21">
                  <c:v>1.6039493838844062E-2</c:v>
                </c:pt>
                <c:pt idx="22">
                  <c:v>1.4185764654032615E-3</c:v>
                </c:pt>
                <c:pt idx="23">
                  <c:v>0.29003324643019446</c:v>
                </c:pt>
                <c:pt idx="24">
                  <c:v>0.35934490344659009</c:v>
                </c:pt>
                <c:pt idx="25">
                  <c:v>0.22946380468993677</c:v>
                </c:pt>
                <c:pt idx="26">
                  <c:v>0.43850655536905142</c:v>
                </c:pt>
                <c:pt idx="27">
                  <c:v>0.10364961449715797</c:v>
                </c:pt>
                <c:pt idx="28">
                  <c:v>0.52268792426978883</c:v>
                </c:pt>
                <c:pt idx="29">
                  <c:v>6.8146188945621425E-2</c:v>
                </c:pt>
                <c:pt idx="30">
                  <c:v>0.85105422209871828</c:v>
                </c:pt>
                <c:pt idx="31">
                  <c:v>2.6838249851514551</c:v>
                </c:pt>
                <c:pt idx="32">
                  <c:v>0.88725834237223256</c:v>
                </c:pt>
                <c:pt idx="33">
                  <c:v>0.52909477774180125</c:v>
                </c:pt>
                <c:pt idx="34">
                  <c:v>0.11785660528824445</c:v>
                </c:pt>
                <c:pt idx="35">
                  <c:v>1.2528691238137277</c:v>
                </c:pt>
                <c:pt idx="36">
                  <c:v>3.4048017432584926E-2</c:v>
                </c:pt>
                <c:pt idx="37">
                  <c:v>0.74928160919540232</c:v>
                </c:pt>
                <c:pt idx="38">
                  <c:v>0.32354622460115368</c:v>
                </c:pt>
                <c:pt idx="39">
                  <c:v>0.44696438937486238</c:v>
                </c:pt>
                <c:pt idx="40">
                  <c:v>1.2553289255354454</c:v>
                </c:pt>
                <c:pt idx="41">
                  <c:v>6.8523340061824103E-2</c:v>
                </c:pt>
                <c:pt idx="42">
                  <c:v>0.90353980448389193</c:v>
                </c:pt>
                <c:pt idx="43">
                  <c:v>0.18576928124589878</c:v>
                </c:pt>
                <c:pt idx="44">
                  <c:v>0.14143154968728283</c:v>
                </c:pt>
                <c:pt idx="45">
                  <c:v>0.26927972843958842</c:v>
                </c:pt>
                <c:pt idx="46">
                  <c:v>0.12384534435046966</c:v>
                </c:pt>
                <c:pt idx="47">
                  <c:v>0.46807267925390761</c:v>
                </c:pt>
                <c:pt idx="48">
                  <c:v>0.45037234758422684</c:v>
                </c:pt>
                <c:pt idx="49">
                  <c:v>0.11040325929001453</c:v>
                </c:pt>
                <c:pt idx="50">
                  <c:v>0.38997567234311992</c:v>
                </c:pt>
                <c:pt idx="51">
                  <c:v>0.34875938272978596</c:v>
                </c:pt>
                <c:pt idx="52">
                  <c:v>0.87219871941458949</c:v>
                </c:pt>
                <c:pt idx="53">
                  <c:v>0.22324116116524667</c:v>
                </c:pt>
                <c:pt idx="54">
                  <c:v>4.3669057048057368E-2</c:v>
                </c:pt>
                <c:pt idx="55">
                  <c:v>0.59147101291611448</c:v>
                </c:pt>
                <c:pt idx="56">
                  <c:v>0.44575821845174973</c:v>
                </c:pt>
                <c:pt idx="57">
                  <c:v>8.4417461694131259E-3</c:v>
                </c:pt>
                <c:pt idx="58">
                  <c:v>1.5885750962772786E-2</c:v>
                </c:pt>
                <c:pt idx="59">
                  <c:v>0.21962586714202872</c:v>
                </c:pt>
                <c:pt idx="60">
                  <c:v>0.31173123160757882</c:v>
                </c:pt>
                <c:pt idx="61">
                  <c:v>0.80713002004562107</c:v>
                </c:pt>
                <c:pt idx="62">
                  <c:v>0.85566988024728718</c:v>
                </c:pt>
                <c:pt idx="63">
                  <c:v>1.0529352854213363</c:v>
                </c:pt>
                <c:pt idx="64">
                  <c:v>0.22493204751089102</c:v>
                </c:pt>
                <c:pt idx="65">
                  <c:v>0.77172616874741429</c:v>
                </c:pt>
                <c:pt idx="66">
                  <c:v>0.23413539587835672</c:v>
                </c:pt>
                <c:pt idx="67">
                  <c:v>8.6797066014669924E-2</c:v>
                </c:pt>
                <c:pt idx="68">
                  <c:v>9.6312791158349162E-2</c:v>
                </c:pt>
                <c:pt idx="69">
                  <c:v>0.30232269967369307</c:v>
                </c:pt>
                <c:pt idx="70">
                  <c:v>4.6206802224856389E-2</c:v>
                </c:pt>
                <c:pt idx="71">
                  <c:v>3.4833413452649481E-2</c:v>
                </c:pt>
                <c:pt idx="72">
                  <c:v>0.12321526114542627</c:v>
                </c:pt>
                <c:pt idx="73">
                  <c:v>0.2069258002655259</c:v>
                </c:pt>
                <c:pt idx="74">
                  <c:v>0.26109421532827515</c:v>
                </c:pt>
                <c:pt idx="75">
                  <c:v>0.13313289905907244</c:v>
                </c:pt>
                <c:pt idx="76">
                  <c:v>0.1250770830029776</c:v>
                </c:pt>
                <c:pt idx="77">
                  <c:v>0.48488830486202367</c:v>
                </c:pt>
                <c:pt idx="78">
                  <c:v>0.69833060315473672</c:v>
                </c:pt>
                <c:pt idx="79">
                  <c:v>1.1815581782637028</c:v>
                </c:pt>
                <c:pt idx="80">
                  <c:v>0.74488367603050487</c:v>
                </c:pt>
                <c:pt idx="81">
                  <c:v>3.1932715256104277E-2</c:v>
                </c:pt>
                <c:pt idx="82">
                  <c:v>0.28589133650501741</c:v>
                </c:pt>
                <c:pt idx="83">
                  <c:v>0.64899744660636172</c:v>
                </c:pt>
                <c:pt idx="84">
                  <c:v>0.28032081207722354</c:v>
                </c:pt>
                <c:pt idx="85">
                  <c:v>0.28916095429101685</c:v>
                </c:pt>
                <c:pt idx="86">
                  <c:v>0.10415539118407602</c:v>
                </c:pt>
                <c:pt idx="87">
                  <c:v>0.38566606793912717</c:v>
                </c:pt>
                <c:pt idx="88">
                  <c:v>0.41623395123565149</c:v>
                </c:pt>
                <c:pt idx="89">
                  <c:v>0.30231931342648416</c:v>
                </c:pt>
                <c:pt idx="90">
                  <c:v>0.10049194559660461</c:v>
                </c:pt>
                <c:pt idx="91">
                  <c:v>0.19097588023288051</c:v>
                </c:pt>
                <c:pt idx="92">
                  <c:v>1.2875972815959662</c:v>
                </c:pt>
                <c:pt idx="93">
                  <c:v>0.50134910081462447</c:v>
                </c:pt>
                <c:pt idx="94">
                  <c:v>1.2317369905436044</c:v>
                </c:pt>
                <c:pt idx="95">
                  <c:v>2.5159158002823769</c:v>
                </c:pt>
                <c:pt idx="96">
                  <c:v>0.23543191484768011</c:v>
                </c:pt>
                <c:pt idx="97">
                  <c:v>0.33889327343370568</c:v>
                </c:pt>
                <c:pt idx="98">
                  <c:v>0.16493136979020104</c:v>
                </c:pt>
                <c:pt idx="99">
                  <c:v>8.5382008840795956E-2</c:v>
                </c:pt>
                <c:pt idx="100">
                  <c:v>0.16292782107760082</c:v>
                </c:pt>
                <c:pt idx="101">
                  <c:v>0.92781444640699084</c:v>
                </c:pt>
                <c:pt idx="102">
                  <c:v>0.33091982970558254</c:v>
                </c:pt>
                <c:pt idx="103">
                  <c:v>1.7583363356150676E-2</c:v>
                </c:pt>
                <c:pt idx="104">
                  <c:v>0.26173914049931135</c:v>
                </c:pt>
                <c:pt idx="105">
                  <c:v>8.5286143392320754E-2</c:v>
                </c:pt>
                <c:pt idx="106">
                  <c:v>0.38332074657460352</c:v>
                </c:pt>
                <c:pt idx="107">
                  <c:v>7.4864284812523677E-2</c:v>
                </c:pt>
                <c:pt idx="108">
                  <c:v>0.12245799327892463</c:v>
                </c:pt>
                <c:pt idx="109">
                  <c:v>0.24502640244734125</c:v>
                </c:pt>
                <c:pt idx="110">
                  <c:v>2.5155350572992764E-2</c:v>
                </c:pt>
                <c:pt idx="111">
                  <c:v>0.61770963446941096</c:v>
                </c:pt>
                <c:pt idx="112">
                  <c:v>5.6581625644675886E-2</c:v>
                </c:pt>
                <c:pt idx="113">
                  <c:v>0.11470983643289268</c:v>
                </c:pt>
                <c:pt idx="114">
                  <c:v>0.15060913837441878</c:v>
                </c:pt>
                <c:pt idx="115">
                  <c:v>0.17521160711839956</c:v>
                </c:pt>
                <c:pt idx="116">
                  <c:v>0.39454645179826053</c:v>
                </c:pt>
                <c:pt idx="117">
                  <c:v>0.23869699069969857</c:v>
                </c:pt>
                <c:pt idx="118">
                  <c:v>0.27365682841420708</c:v>
                </c:pt>
                <c:pt idx="119">
                  <c:v>0.42023335066135276</c:v>
                </c:pt>
                <c:pt idx="120">
                  <c:v>2.1018755903386857</c:v>
                </c:pt>
                <c:pt idx="121">
                  <c:v>0.58432853499811876</c:v>
                </c:pt>
                <c:pt idx="122">
                  <c:v>0.58812505324133235</c:v>
                </c:pt>
                <c:pt idx="123">
                  <c:v>0.70299613738386058</c:v>
                </c:pt>
                <c:pt idx="124">
                  <c:v>0.22425302780656012</c:v>
                </c:pt>
                <c:pt idx="125">
                  <c:v>0.33073388882090532</c:v>
                </c:pt>
                <c:pt idx="126">
                  <c:v>1.4316956565964805</c:v>
                </c:pt>
                <c:pt idx="127">
                  <c:v>0.31741780568895456</c:v>
                </c:pt>
                <c:pt idx="128">
                  <c:v>0.57202561617060499</c:v>
                </c:pt>
                <c:pt idx="129">
                  <c:v>0.12402907977807538</c:v>
                </c:pt>
                <c:pt idx="130">
                  <c:v>0.26162684954369897</c:v>
                </c:pt>
                <c:pt idx="131">
                  <c:v>9.1826543237481933E-3</c:v>
                </c:pt>
                <c:pt idx="132">
                  <c:v>0.34014386915018735</c:v>
                </c:pt>
                <c:pt idx="133">
                  <c:v>0.24454926120229101</c:v>
                </c:pt>
                <c:pt idx="134">
                  <c:v>0.35296440286720931</c:v>
                </c:pt>
                <c:pt idx="135">
                  <c:v>3.4876189527178515E-4</c:v>
                </c:pt>
                <c:pt idx="136">
                  <c:v>0.13890328099960236</c:v>
                </c:pt>
                <c:pt idx="137">
                  <c:v>0.87510953473815978</c:v>
                </c:pt>
                <c:pt idx="138">
                  <c:v>7.0501186653636741E-3</c:v>
                </c:pt>
                <c:pt idx="139">
                  <c:v>0.39578353749626533</c:v>
                </c:pt>
                <c:pt idx="140">
                  <c:v>0.23667566667899545</c:v>
                </c:pt>
                <c:pt idx="141">
                  <c:v>3.8371642334480448E-2</c:v>
                </c:pt>
                <c:pt idx="142">
                  <c:v>0.24179224030037547</c:v>
                </c:pt>
                <c:pt idx="143">
                  <c:v>0.23872797090761133</c:v>
                </c:pt>
                <c:pt idx="144">
                  <c:v>1.6684777687222676</c:v>
                </c:pt>
                <c:pt idx="145">
                  <c:v>0.27451754466498962</c:v>
                </c:pt>
                <c:pt idx="146">
                  <c:v>0.27930586259570955</c:v>
                </c:pt>
                <c:pt idx="147">
                  <c:v>1.3023508390848895</c:v>
                </c:pt>
                <c:pt idx="148">
                  <c:v>1.4398994098440447E-3</c:v>
                </c:pt>
                <c:pt idx="149">
                  <c:v>9.4601332668510035E-2</c:v>
                </c:pt>
                <c:pt idx="150">
                  <c:v>0.47580409356725145</c:v>
                </c:pt>
                <c:pt idx="151">
                  <c:v>0.16636613556416094</c:v>
                </c:pt>
                <c:pt idx="152">
                  <c:v>5.6244805888638252E-3</c:v>
                </c:pt>
                <c:pt idx="153">
                  <c:v>2.0133484945864439</c:v>
                </c:pt>
                <c:pt idx="154">
                  <c:v>0.58096263834212281</c:v>
                </c:pt>
                <c:pt idx="155">
                  <c:v>0.58558925300223896</c:v>
                </c:pt>
                <c:pt idx="156">
                  <c:v>0.32437576342925317</c:v>
                </c:pt>
                <c:pt idx="157">
                  <c:v>0.49450638721338774</c:v>
                </c:pt>
                <c:pt idx="158">
                  <c:v>0.3088667120606009</c:v>
                </c:pt>
                <c:pt idx="159">
                  <c:v>0.27064526467603228</c:v>
                </c:pt>
                <c:pt idx="160">
                  <c:v>0.17364991693456169</c:v>
                </c:pt>
                <c:pt idx="161">
                  <c:v>0.83968176967109731</c:v>
                </c:pt>
                <c:pt idx="162">
                  <c:v>1.05938695640754E-2</c:v>
                </c:pt>
                <c:pt idx="163">
                  <c:v>0.3113323572474378</c:v>
                </c:pt>
                <c:pt idx="164">
                  <c:v>0.57110654285106688</c:v>
                </c:pt>
                <c:pt idx="165">
                  <c:v>0.14339911023772484</c:v>
                </c:pt>
                <c:pt idx="166">
                  <c:v>0.41899862087852974</c:v>
                </c:pt>
                <c:pt idx="167">
                  <c:v>0.1715406742026645</c:v>
                </c:pt>
                <c:pt idx="168">
                  <c:v>7.3695514964249711E-2</c:v>
                </c:pt>
                <c:pt idx="169">
                  <c:v>8.5921755209740089E-2</c:v>
                </c:pt>
                <c:pt idx="170">
                  <c:v>0.46323691439820186</c:v>
                </c:pt>
                <c:pt idx="171">
                  <c:v>0.45886075949367089</c:v>
                </c:pt>
                <c:pt idx="172">
                  <c:v>2.1189081164554664</c:v>
                </c:pt>
                <c:pt idx="173">
                  <c:v>1.2417102966841187</c:v>
                </c:pt>
                <c:pt idx="174">
                  <c:v>0.25367240907847965</c:v>
                </c:pt>
                <c:pt idx="175">
                  <c:v>8.8529036217323734E-2</c:v>
                </c:pt>
                <c:pt idx="176">
                  <c:v>0.31522985211509802</c:v>
                </c:pt>
                <c:pt idx="177">
                  <c:v>0.39330772681395088</c:v>
                </c:pt>
                <c:pt idx="178">
                  <c:v>0.30023842601284123</c:v>
                </c:pt>
                <c:pt idx="179">
                  <c:v>1.5228545618789522</c:v>
                </c:pt>
                <c:pt idx="180">
                  <c:v>0.27191111907535165</c:v>
                </c:pt>
                <c:pt idx="181">
                  <c:v>0.40727181961893666</c:v>
                </c:pt>
                <c:pt idx="182">
                  <c:v>0.4975234877634227</c:v>
                </c:pt>
                <c:pt idx="183">
                  <c:v>0.34046727146838995</c:v>
                </c:pt>
                <c:pt idx="184">
                  <c:v>0.11722900215362526</c:v>
                </c:pt>
                <c:pt idx="185">
                  <c:v>0.37163632613067921</c:v>
                </c:pt>
                <c:pt idx="186">
                  <c:v>0.93533081451542044</c:v>
                </c:pt>
                <c:pt idx="187">
                  <c:v>0.22676060125305869</c:v>
                </c:pt>
                <c:pt idx="188">
                  <c:v>0.28901920350560639</c:v>
                </c:pt>
                <c:pt idx="189">
                  <c:v>0.90176263219741482</c:v>
                </c:pt>
                <c:pt idx="190">
                  <c:v>0.85069915136209173</c:v>
                </c:pt>
                <c:pt idx="191">
                  <c:v>8.6152871175580042E-2</c:v>
                </c:pt>
                <c:pt idx="192">
                  <c:v>6.733517771303045E-2</c:v>
                </c:pt>
                <c:pt idx="193">
                  <c:v>0.59201846965699212</c:v>
                </c:pt>
                <c:pt idx="194">
                  <c:v>0.41198267220392382</c:v>
                </c:pt>
                <c:pt idx="195">
                  <c:v>0.82236245153839804</c:v>
                </c:pt>
                <c:pt idx="196">
                  <c:v>0.4005118032477179</c:v>
                </c:pt>
                <c:pt idx="197">
                  <c:v>0.24883315740611209</c:v>
                </c:pt>
                <c:pt idx="198">
                  <c:v>0.11083208769307425</c:v>
                </c:pt>
                <c:pt idx="199">
                  <c:v>2.3666241643528724E-2</c:v>
                </c:pt>
                <c:pt idx="200">
                  <c:v>0.19096153621119394</c:v>
                </c:pt>
                <c:pt idx="201">
                  <c:v>0.63213746377698865</c:v>
                </c:pt>
                <c:pt idx="202">
                  <c:v>0.11736785897926089</c:v>
                </c:pt>
                <c:pt idx="203">
                  <c:v>0.4043631577396446</c:v>
                </c:pt>
                <c:pt idx="204">
                  <c:v>6.9518132975151109E-2</c:v>
                </c:pt>
                <c:pt idx="205">
                  <c:v>0.36791665108859561</c:v>
                </c:pt>
                <c:pt idx="206">
                  <c:v>0.52522264243015737</c:v>
                </c:pt>
                <c:pt idx="207">
                  <c:v>0.85900930538584452</c:v>
                </c:pt>
                <c:pt idx="208">
                  <c:v>0.30389688674562088</c:v>
                </c:pt>
                <c:pt idx="209">
                  <c:v>0.4362472810943932</c:v>
                </c:pt>
                <c:pt idx="210">
                  <c:v>1.3155743144593985</c:v>
                </c:pt>
                <c:pt idx="211">
                  <c:v>1.1177314640572074</c:v>
                </c:pt>
                <c:pt idx="212">
                  <c:v>0.58036617262423718</c:v>
                </c:pt>
                <c:pt idx="213">
                  <c:v>0.91433197101620955</c:v>
                </c:pt>
                <c:pt idx="214">
                  <c:v>2.3764424257304197</c:v>
                </c:pt>
                <c:pt idx="215">
                  <c:v>9.680261411667615E-2</c:v>
                </c:pt>
                <c:pt idx="216">
                  <c:v>0.52590350450231205</c:v>
                </c:pt>
                <c:pt idx="217">
                  <c:v>0.40034394828915376</c:v>
                </c:pt>
                <c:pt idx="218">
                  <c:v>2.9769251868614139E-2</c:v>
                </c:pt>
                <c:pt idx="219">
                  <c:v>0.18802772526780087</c:v>
                </c:pt>
                <c:pt idx="220">
                  <c:v>0.40205615981280063</c:v>
                </c:pt>
                <c:pt idx="221">
                  <c:v>0.38887416438436845</c:v>
                </c:pt>
                <c:pt idx="222">
                  <c:v>0.15570467971578689</c:v>
                </c:pt>
                <c:pt idx="223">
                  <c:v>0.2707210413912336</c:v>
                </c:pt>
                <c:pt idx="224">
                  <c:v>0.24536863293644023</c:v>
                </c:pt>
                <c:pt idx="225">
                  <c:v>0.44051452147884473</c:v>
                </c:pt>
                <c:pt idx="226">
                  <c:v>0.58849199422378085</c:v>
                </c:pt>
                <c:pt idx="227">
                  <c:v>1.2716134769291572</c:v>
                </c:pt>
                <c:pt idx="228">
                  <c:v>0.25337802723209646</c:v>
                </c:pt>
                <c:pt idx="229">
                  <c:v>1.5507072394175061</c:v>
                </c:pt>
                <c:pt idx="230">
                  <c:v>2.0425275020123423E-2</c:v>
                </c:pt>
                <c:pt idx="231">
                  <c:v>0.24182559729335157</c:v>
                </c:pt>
                <c:pt idx="232">
                  <c:v>0.25191370306974481</c:v>
                </c:pt>
                <c:pt idx="233">
                  <c:v>0.31455562394626274</c:v>
                </c:pt>
                <c:pt idx="234">
                  <c:v>0.97738459063857164</c:v>
                </c:pt>
                <c:pt idx="235">
                  <c:v>0.59643661989367136</c:v>
                </c:pt>
                <c:pt idx="236">
                  <c:v>0.2088620629564501</c:v>
                </c:pt>
                <c:pt idx="237">
                  <c:v>0.55484276884738282</c:v>
                </c:pt>
                <c:pt idx="238">
                  <c:v>0.10695728325386786</c:v>
                </c:pt>
                <c:pt idx="239">
                  <c:v>0.33543385521557417</c:v>
                </c:pt>
                <c:pt idx="240">
                  <c:v>0.25421859952265968</c:v>
                </c:pt>
                <c:pt idx="241">
                  <c:v>0.24506457873251689</c:v>
                </c:pt>
                <c:pt idx="242">
                  <c:v>0.53535015016563336</c:v>
                </c:pt>
                <c:pt idx="243">
                  <c:v>0.34698751583137327</c:v>
                </c:pt>
                <c:pt idx="244">
                  <c:v>0.84038792545020446</c:v>
                </c:pt>
                <c:pt idx="245">
                  <c:v>0.32613727944580667</c:v>
                </c:pt>
                <c:pt idx="246">
                  <c:v>1.8483120437956204</c:v>
                </c:pt>
                <c:pt idx="247">
                  <c:v>9.9491454135280849E-2</c:v>
                </c:pt>
                <c:pt idx="248">
                  <c:v>1.1805447848003101</c:v>
                </c:pt>
                <c:pt idx="249">
                  <c:v>0.33300879498912794</c:v>
                </c:pt>
                <c:pt idx="250">
                  <c:v>0.19087834457363564</c:v>
                </c:pt>
                <c:pt idx="251">
                  <c:v>0.11246835009922672</c:v>
                </c:pt>
                <c:pt idx="252">
                  <c:v>0.24128530640556192</c:v>
                </c:pt>
                <c:pt idx="253">
                  <c:v>0.15000826947461271</c:v>
                </c:pt>
                <c:pt idx="254">
                  <c:v>0.12846559543598268</c:v>
                </c:pt>
                <c:pt idx="255">
                  <c:v>0.74676760394136021</c:v>
                </c:pt>
                <c:pt idx="256">
                  <c:v>3.4808929247067723E-2</c:v>
                </c:pt>
                <c:pt idx="257">
                  <c:v>0.37829377364981082</c:v>
                </c:pt>
                <c:pt idx="258">
                  <c:v>0.61250101206380048</c:v>
                </c:pt>
                <c:pt idx="259">
                  <c:v>0.33196141360142806</c:v>
                </c:pt>
                <c:pt idx="260">
                  <c:v>0.29859921394739491</c:v>
                </c:pt>
                <c:pt idx="261">
                  <c:v>0.10799679154987968</c:v>
                </c:pt>
                <c:pt idx="262">
                  <c:v>0.26036358744092963</c:v>
                </c:pt>
                <c:pt idx="263">
                  <c:v>0.38129337277779313</c:v>
                </c:pt>
                <c:pt idx="264">
                  <c:v>0.24480671719099287</c:v>
                </c:pt>
                <c:pt idx="265">
                  <c:v>0.82163892951733408</c:v>
                </c:pt>
                <c:pt idx="266">
                  <c:v>1.057712259029604</c:v>
                </c:pt>
                <c:pt idx="267">
                  <c:v>0.1472565551068217</c:v>
                </c:pt>
                <c:pt idx="268">
                  <c:v>0.43027114599029692</c:v>
                </c:pt>
                <c:pt idx="269">
                  <c:v>0.12136633319266192</c:v>
                </c:pt>
                <c:pt idx="270">
                  <c:v>0.30970863462356446</c:v>
                </c:pt>
                <c:pt idx="271">
                  <c:v>0.88002440424921047</c:v>
                </c:pt>
                <c:pt idx="272">
                  <c:v>0.53959403934213324</c:v>
                </c:pt>
                <c:pt idx="273">
                  <c:v>0.16785827556522134</c:v>
                </c:pt>
                <c:pt idx="274">
                  <c:v>0.18519827373876913</c:v>
                </c:pt>
                <c:pt idx="275">
                  <c:v>1.0136304533022464</c:v>
                </c:pt>
                <c:pt idx="276">
                  <c:v>4.9249162829635831E-2</c:v>
                </c:pt>
                <c:pt idx="277">
                  <c:v>1.1284594660788636</c:v>
                </c:pt>
                <c:pt idx="278">
                  <c:v>0.28699108978752569</c:v>
                </c:pt>
                <c:pt idx="279">
                  <c:v>0.26513609768506741</c:v>
                </c:pt>
                <c:pt idx="280">
                  <c:v>0.24963956970167461</c:v>
                </c:pt>
                <c:pt idx="281">
                  <c:v>0.35863961669092675</c:v>
                </c:pt>
                <c:pt idx="282">
                  <c:v>1.4216142062342809</c:v>
                </c:pt>
                <c:pt idx="283">
                  <c:v>0.34699255433917547</c:v>
                </c:pt>
                <c:pt idx="284">
                  <c:v>0.18605720348348878</c:v>
                </c:pt>
                <c:pt idx="285">
                  <c:v>0.78446557713114284</c:v>
                </c:pt>
                <c:pt idx="286">
                  <c:v>0.50173457987887338</c:v>
                </c:pt>
                <c:pt idx="287">
                  <c:v>1.5233093190797118</c:v>
                </c:pt>
                <c:pt idx="288">
                  <c:v>0.4584867548972163</c:v>
                </c:pt>
                <c:pt idx="289">
                  <c:v>0.11514166493763976</c:v>
                </c:pt>
                <c:pt idx="290">
                  <c:v>1.2580165640263326</c:v>
                </c:pt>
                <c:pt idx="291">
                  <c:v>0.11454909397387274</c:v>
                </c:pt>
                <c:pt idx="292">
                  <c:v>0.29165681664959331</c:v>
                </c:pt>
                <c:pt idx="293">
                  <c:v>1.6585618555839642E-2</c:v>
                </c:pt>
                <c:pt idx="294">
                  <c:v>0.33591902045359678</c:v>
                </c:pt>
                <c:pt idx="295">
                  <c:v>1.425</c:v>
                </c:pt>
                <c:pt idx="296">
                  <c:v>0.33253004603454134</c:v>
                </c:pt>
                <c:pt idx="297">
                  <c:v>0.35717236557772974</c:v>
                </c:pt>
                <c:pt idx="298">
                  <c:v>0.56140571860435828</c:v>
                </c:pt>
                <c:pt idx="299">
                  <c:v>0.48732137853740543</c:v>
                </c:pt>
                <c:pt idx="300">
                  <c:v>0.46700536268698845</c:v>
                </c:pt>
                <c:pt idx="301">
                  <c:v>0.4337530019649225</c:v>
                </c:pt>
                <c:pt idx="302">
                  <c:v>1.429574374725757</c:v>
                </c:pt>
                <c:pt idx="303">
                  <c:v>0.28621122212040606</c:v>
                </c:pt>
                <c:pt idx="304">
                  <c:v>0.39196228732148869</c:v>
                </c:pt>
                <c:pt idx="305">
                  <c:v>0.62260065968236444</c:v>
                </c:pt>
                <c:pt idx="306">
                  <c:v>0.31601271124466485</c:v>
                </c:pt>
                <c:pt idx="307">
                  <c:v>1.8012001619850533</c:v>
                </c:pt>
                <c:pt idx="308">
                  <c:v>0.81559010045457092</c:v>
                </c:pt>
                <c:pt idx="309">
                  <c:v>0.17427986819727892</c:v>
                </c:pt>
                <c:pt idx="310">
                  <c:v>0.41772691354955566</c:v>
                </c:pt>
                <c:pt idx="311">
                  <c:v>0.35882158225753064</c:v>
                </c:pt>
                <c:pt idx="312">
                  <c:v>0.19055377072643392</c:v>
                </c:pt>
                <c:pt idx="313">
                  <c:v>0.66807690779803763</c:v>
                </c:pt>
                <c:pt idx="314">
                  <c:v>0.2882347980096146</c:v>
                </c:pt>
                <c:pt idx="315">
                  <c:v>9.8169913435873238E-2</c:v>
                </c:pt>
                <c:pt idx="316">
                  <c:v>0.73606882859033751</c:v>
                </c:pt>
                <c:pt idx="317">
                  <c:v>8.500067709391293E-2</c:v>
                </c:pt>
                <c:pt idx="318">
                  <c:v>0.27877119037764697</c:v>
                </c:pt>
                <c:pt idx="319">
                  <c:v>0.76599155962626464</c:v>
                </c:pt>
                <c:pt idx="320">
                  <c:v>0.15245877682246634</c:v>
                </c:pt>
                <c:pt idx="321">
                  <c:v>0.73735191005802703</c:v>
                </c:pt>
                <c:pt idx="322">
                  <c:v>0.3606314145470772</c:v>
                </c:pt>
                <c:pt idx="323">
                  <c:v>0.42940237534832132</c:v>
                </c:pt>
                <c:pt idx="324">
                  <c:v>0.32246876183263917</c:v>
                </c:pt>
                <c:pt idx="325">
                  <c:v>0.25999805508958745</c:v>
                </c:pt>
                <c:pt idx="326">
                  <c:v>0.97958152958152955</c:v>
                </c:pt>
                <c:pt idx="327">
                  <c:v>5.6878572864899023E-3</c:v>
                </c:pt>
                <c:pt idx="328">
                  <c:v>1.5817150428553684E-2</c:v>
                </c:pt>
                <c:pt idx="329">
                  <c:v>0.43713320291659258</c:v>
                </c:pt>
                <c:pt idx="330">
                  <c:v>0.38764102273371509</c:v>
                </c:pt>
                <c:pt idx="331">
                  <c:v>0.5736708860759494</c:v>
                </c:pt>
                <c:pt idx="332">
                  <c:v>0.49633005183149548</c:v>
                </c:pt>
                <c:pt idx="333">
                  <c:v>0.97345355269775125</c:v>
                </c:pt>
                <c:pt idx="334">
                  <c:v>4.8785559807020464E-2</c:v>
                </c:pt>
                <c:pt idx="335">
                  <c:v>0.49187315118165337</c:v>
                </c:pt>
                <c:pt idx="336">
                  <c:v>1.8025608336566711E-2</c:v>
                </c:pt>
                <c:pt idx="337">
                  <c:v>1.3817925449220869</c:v>
                </c:pt>
                <c:pt idx="338">
                  <c:v>0.18366920989772964</c:v>
                </c:pt>
                <c:pt idx="339">
                  <c:v>0.15808032688662102</c:v>
                </c:pt>
                <c:pt idx="340">
                  <c:v>0.49548313036534236</c:v>
                </c:pt>
                <c:pt idx="341">
                  <c:v>0.91571360360155518</c:v>
                </c:pt>
                <c:pt idx="342">
                  <c:v>0.41991192645656189</c:v>
                </c:pt>
                <c:pt idx="343">
                  <c:v>0.32142319582257523</c:v>
                </c:pt>
                <c:pt idx="344">
                  <c:v>0.61626472783926778</c:v>
                </c:pt>
                <c:pt idx="345">
                  <c:v>1.9037690922817818</c:v>
                </c:pt>
                <c:pt idx="346">
                  <c:v>0.17604953451607236</c:v>
                </c:pt>
                <c:pt idx="347">
                  <c:v>0.17487780540193143</c:v>
                </c:pt>
                <c:pt idx="348">
                  <c:v>3.2716171617161716</c:v>
                </c:pt>
                <c:pt idx="349">
                  <c:v>0.41225406766968481</c:v>
                </c:pt>
                <c:pt idx="350">
                  <c:v>0.30412250805359725</c:v>
                </c:pt>
                <c:pt idx="351">
                  <c:v>1.6142643470046445</c:v>
                </c:pt>
                <c:pt idx="352">
                  <c:v>0.33903107475650379</c:v>
                </c:pt>
                <c:pt idx="353">
                  <c:v>0.55841678588459709</c:v>
                </c:pt>
                <c:pt idx="354">
                  <c:v>0.51528540556909064</c:v>
                </c:pt>
                <c:pt idx="355">
                  <c:v>2.4745418575593501</c:v>
                </c:pt>
                <c:pt idx="356">
                  <c:v>0.50047714426535517</c:v>
                </c:pt>
                <c:pt idx="357">
                  <c:v>0.74256429182533423</c:v>
                </c:pt>
                <c:pt idx="358">
                  <c:v>0.15675312835001454</c:v>
                </c:pt>
                <c:pt idx="359">
                  <c:v>0.74504005863472089</c:v>
                </c:pt>
                <c:pt idx="360">
                  <c:v>0.60498051704017253</c:v>
                </c:pt>
                <c:pt idx="361">
                  <c:v>0.86558684878520487</c:v>
                </c:pt>
                <c:pt idx="362">
                  <c:v>0.28887552615754658</c:v>
                </c:pt>
                <c:pt idx="363">
                  <c:v>0.30115723913000764</c:v>
                </c:pt>
                <c:pt idx="364">
                  <c:v>0.43246500040618485</c:v>
                </c:pt>
                <c:pt idx="365">
                  <c:v>0.32528743360451823</c:v>
                </c:pt>
                <c:pt idx="366">
                  <c:v>0.55322112888314778</c:v>
                </c:pt>
                <c:pt idx="367">
                  <c:v>0.18920161759335652</c:v>
                </c:pt>
                <c:pt idx="368">
                  <c:v>0.18515938820880284</c:v>
                </c:pt>
                <c:pt idx="369">
                  <c:v>0.29905299432881993</c:v>
                </c:pt>
                <c:pt idx="370">
                  <c:v>1.2528879813302216</c:v>
                </c:pt>
                <c:pt idx="371">
                  <c:v>0.399362797157095</c:v>
                </c:pt>
                <c:pt idx="372">
                  <c:v>0.41268717820614237</c:v>
                </c:pt>
                <c:pt idx="373">
                  <c:v>1.0998026794059611E-2</c:v>
                </c:pt>
                <c:pt idx="374">
                  <c:v>0.60861696944386445</c:v>
                </c:pt>
                <c:pt idx="375">
                  <c:v>0.31008511154639534</c:v>
                </c:pt>
                <c:pt idx="376">
                  <c:v>0.39788244079368468</c:v>
                </c:pt>
                <c:pt idx="377">
                  <c:v>0.35015831263091235</c:v>
                </c:pt>
                <c:pt idx="378">
                  <c:v>0.93961296877886569</c:v>
                </c:pt>
                <c:pt idx="379">
                  <c:v>7.8419842839578771E-2</c:v>
                </c:pt>
                <c:pt idx="380">
                  <c:v>0.49328298311864316</c:v>
                </c:pt>
                <c:pt idx="381">
                  <c:v>0.18865947091986701</c:v>
                </c:pt>
                <c:pt idx="382">
                  <c:v>0.46763106155192952</c:v>
                </c:pt>
                <c:pt idx="383">
                  <c:v>0.60328774160405829</c:v>
                </c:pt>
                <c:pt idx="384">
                  <c:v>1.1741856104991797</c:v>
                </c:pt>
                <c:pt idx="385">
                  <c:v>0.42558800723701212</c:v>
                </c:pt>
                <c:pt idx="386">
                  <c:v>1.5610662522382512</c:v>
                </c:pt>
                <c:pt idx="387">
                  <c:v>1.0759154849364998</c:v>
                </c:pt>
                <c:pt idx="388">
                  <c:v>0.16978222110409852</c:v>
                </c:pt>
                <c:pt idx="389">
                  <c:v>0.51019176739011562</c:v>
                </c:pt>
                <c:pt idx="390">
                  <c:v>0.34439175030329766</c:v>
                </c:pt>
                <c:pt idx="391">
                  <c:v>0.51931188385894356</c:v>
                </c:pt>
                <c:pt idx="392">
                  <c:v>0.41140772746517862</c:v>
                </c:pt>
                <c:pt idx="393">
                  <c:v>0.60326072139371301</c:v>
                </c:pt>
                <c:pt idx="394">
                  <c:v>0.41574702342849829</c:v>
                </c:pt>
                <c:pt idx="395">
                  <c:v>0.65522078435246467</c:v>
                </c:pt>
                <c:pt idx="396">
                  <c:v>9.0038436219235102E-2</c:v>
                </c:pt>
                <c:pt idx="397">
                  <c:v>0.47449484244736473</c:v>
                </c:pt>
                <c:pt idx="398">
                  <c:v>0.15873212662203487</c:v>
                </c:pt>
                <c:pt idx="399">
                  <c:v>2.630787495053423E-2</c:v>
                </c:pt>
                <c:pt idx="400">
                  <c:v>1.7927182218106044</c:v>
                </c:pt>
                <c:pt idx="401">
                  <c:v>0.38611284956685005</c:v>
                </c:pt>
                <c:pt idx="402">
                  <c:v>6.2204618085250032E-2</c:v>
                </c:pt>
                <c:pt idx="403">
                  <c:v>0.10893604050598615</c:v>
                </c:pt>
                <c:pt idx="404">
                  <c:v>8.9785013048340995E-2</c:v>
                </c:pt>
                <c:pt idx="405">
                  <c:v>0.64389306307880478</c:v>
                </c:pt>
                <c:pt idx="406">
                  <c:v>0.92179438598536745</c:v>
                </c:pt>
                <c:pt idx="407">
                  <c:v>4.2309973211181774E-2</c:v>
                </c:pt>
                <c:pt idx="408">
                  <c:v>0.45489428347689898</c:v>
                </c:pt>
                <c:pt idx="409">
                  <c:v>8.89358777818893E-2</c:v>
                </c:pt>
                <c:pt idx="410">
                  <c:v>7.5637179692688183E-2</c:v>
                </c:pt>
                <c:pt idx="411">
                  <c:v>0.50675666194238245</c:v>
                </c:pt>
                <c:pt idx="412">
                  <c:v>0.21996797464384171</c:v>
                </c:pt>
                <c:pt idx="413">
                  <c:v>0.28122282556184658</c:v>
                </c:pt>
                <c:pt idx="414">
                  <c:v>9.1550410382797834E-2</c:v>
                </c:pt>
                <c:pt idx="415">
                  <c:v>9.0769480663309754E-2</c:v>
                </c:pt>
                <c:pt idx="416">
                  <c:v>0.60341136295273989</c:v>
                </c:pt>
                <c:pt idx="417">
                  <c:v>1.1045279493197822</c:v>
                </c:pt>
                <c:pt idx="418">
                  <c:v>1.1391890552195896</c:v>
                </c:pt>
                <c:pt idx="419">
                  <c:v>7.075777392861772E-2</c:v>
                </c:pt>
                <c:pt idx="420">
                  <c:v>0.15284346353710515</c:v>
                </c:pt>
                <c:pt idx="421">
                  <c:v>0.39635214616443498</c:v>
                </c:pt>
                <c:pt idx="422">
                  <c:v>0.48799625382612272</c:v>
                </c:pt>
                <c:pt idx="423">
                  <c:v>0.99271680978285304</c:v>
                </c:pt>
                <c:pt idx="424">
                  <c:v>0.38836477987421386</c:v>
                </c:pt>
                <c:pt idx="425">
                  <c:v>4.8562043306294829E-2</c:v>
                </c:pt>
                <c:pt idx="426">
                  <c:v>0.1544061546286877</c:v>
                </c:pt>
                <c:pt idx="427">
                  <c:v>0.22010165915411911</c:v>
                </c:pt>
                <c:pt idx="428">
                  <c:v>0.47028351948248848</c:v>
                </c:pt>
                <c:pt idx="429">
                  <c:v>0.44562027088887096</c:v>
                </c:pt>
                <c:pt idx="430">
                  <c:v>0.21765917786716374</c:v>
                </c:pt>
                <c:pt idx="431">
                  <c:v>0.86939689738130133</c:v>
                </c:pt>
                <c:pt idx="432">
                  <c:v>0.27273770421262494</c:v>
                </c:pt>
                <c:pt idx="433">
                  <c:v>0.10632525176452413</c:v>
                </c:pt>
                <c:pt idx="434">
                  <c:v>9.3677072411810461E-2</c:v>
                </c:pt>
                <c:pt idx="435">
                  <c:v>0.1052227430575453</c:v>
                </c:pt>
                <c:pt idx="436">
                  <c:v>0.3021401292244133</c:v>
                </c:pt>
                <c:pt idx="437">
                  <c:v>0.38924244998235824</c:v>
                </c:pt>
                <c:pt idx="438">
                  <c:v>0.38771544653897594</c:v>
                </c:pt>
                <c:pt idx="439">
                  <c:v>0.35544746151639733</c:v>
                </c:pt>
                <c:pt idx="440">
                  <c:v>0.23379499974540455</c:v>
                </c:pt>
                <c:pt idx="441">
                  <c:v>0.23790718179898912</c:v>
                </c:pt>
                <c:pt idx="442">
                  <c:v>0.87277455491098221</c:v>
                </c:pt>
                <c:pt idx="443">
                  <c:v>0.10239893380719681</c:v>
                </c:pt>
                <c:pt idx="444">
                  <c:v>0.68194008372579806</c:v>
                </c:pt>
                <c:pt idx="445">
                  <c:v>0.35311803256536722</c:v>
                </c:pt>
                <c:pt idx="446">
                  <c:v>1.517306594347702</c:v>
                </c:pt>
                <c:pt idx="447">
                  <c:v>0.26150834943758983</c:v>
                </c:pt>
                <c:pt idx="448">
                  <c:v>0.47989249353062835</c:v>
                </c:pt>
                <c:pt idx="449">
                  <c:v>0.62382598855849625</c:v>
                </c:pt>
                <c:pt idx="450">
                  <c:v>0.58189688490376434</c:v>
                </c:pt>
                <c:pt idx="451">
                  <c:v>0.27172523961661343</c:v>
                </c:pt>
                <c:pt idx="452">
                  <c:v>0.66035471947922986</c:v>
                </c:pt>
                <c:pt idx="453">
                  <c:v>0.94141904651790187</c:v>
                </c:pt>
                <c:pt idx="454">
                  <c:v>0.12934214367221294</c:v>
                </c:pt>
                <c:pt idx="455">
                  <c:v>0.95874703306254805</c:v>
                </c:pt>
                <c:pt idx="456">
                  <c:v>0.57517766431513162</c:v>
                </c:pt>
                <c:pt idx="457">
                  <c:v>0.39760901264406845</c:v>
                </c:pt>
                <c:pt idx="458">
                  <c:v>9.2354474370112946E-2</c:v>
                </c:pt>
                <c:pt idx="459">
                  <c:v>0.60354300871542255</c:v>
                </c:pt>
                <c:pt idx="460">
                  <c:v>0.5625489377251135</c:v>
                </c:pt>
                <c:pt idx="461">
                  <c:v>0.24314711402553468</c:v>
                </c:pt>
                <c:pt idx="462">
                  <c:v>0.97987880214155443</c:v>
                </c:pt>
                <c:pt idx="463">
                  <c:v>0.66264926532605317</c:v>
                </c:pt>
                <c:pt idx="464">
                  <c:v>0.27933390264731001</c:v>
                </c:pt>
                <c:pt idx="465">
                  <c:v>0.41101632005116434</c:v>
                </c:pt>
                <c:pt idx="466">
                  <c:v>0.14556361857800226</c:v>
                </c:pt>
                <c:pt idx="467">
                  <c:v>0.1553487446189066</c:v>
                </c:pt>
                <c:pt idx="468">
                  <c:v>0.12240570413762027</c:v>
                </c:pt>
                <c:pt idx="469">
                  <c:v>6.3855261407476382E-2</c:v>
                </c:pt>
                <c:pt idx="470">
                  <c:v>0.18217203118026218</c:v>
                </c:pt>
                <c:pt idx="471">
                  <c:v>0.16380263936408304</c:v>
                </c:pt>
                <c:pt idx="472">
                  <c:v>0.55455331925396301</c:v>
                </c:pt>
                <c:pt idx="473">
                  <c:v>1.6097344571899361E-2</c:v>
                </c:pt>
                <c:pt idx="474">
                  <c:v>0.26701556028210005</c:v>
                </c:pt>
                <c:pt idx="475">
                  <c:v>2.9437608786987575</c:v>
                </c:pt>
                <c:pt idx="476">
                  <c:v>0.49397177548878946</c:v>
                </c:pt>
                <c:pt idx="477">
                  <c:v>0.33973881985266763</c:v>
                </c:pt>
                <c:pt idx="478">
                  <c:v>8.5802051335450609E-3</c:v>
                </c:pt>
                <c:pt idx="479">
                  <c:v>0.83834977934249022</c:v>
                </c:pt>
                <c:pt idx="480">
                  <c:v>0.89423967401370619</c:v>
                </c:pt>
                <c:pt idx="481">
                  <c:v>0.19378021690840194</c:v>
                </c:pt>
                <c:pt idx="482">
                  <c:v>0.37776854288836559</c:v>
                </c:pt>
                <c:pt idx="483">
                  <c:v>0.37651402739915113</c:v>
                </c:pt>
                <c:pt idx="484">
                  <c:v>0.1907156435886429</c:v>
                </c:pt>
                <c:pt idx="485">
                  <c:v>0.25175289312457455</c:v>
                </c:pt>
                <c:pt idx="486">
                  <c:v>1.9109048947014136</c:v>
                </c:pt>
                <c:pt idx="487">
                  <c:v>3.0040844176151171E-2</c:v>
                </c:pt>
                <c:pt idx="488">
                  <c:v>0.2841154871485338</c:v>
                </c:pt>
                <c:pt idx="489">
                  <c:v>0.61298851769878637</c:v>
                </c:pt>
                <c:pt idx="490">
                  <c:v>0.36215901329797917</c:v>
                </c:pt>
                <c:pt idx="491">
                  <c:v>0.21673587163065663</c:v>
                </c:pt>
                <c:pt idx="492">
                  <c:v>3.6780087947743671E-2</c:v>
                </c:pt>
                <c:pt idx="493">
                  <c:v>0.26467333811602484</c:v>
                </c:pt>
                <c:pt idx="494">
                  <c:v>0.4929318095650761</c:v>
                </c:pt>
                <c:pt idx="495">
                  <c:v>0.50002043109612826</c:v>
                </c:pt>
                <c:pt idx="496">
                  <c:v>0.28776818055168568</c:v>
                </c:pt>
                <c:pt idx="497">
                  <c:v>3.0418815937506633E-2</c:v>
                </c:pt>
                <c:pt idx="498">
                  <c:v>1.0107377463365337</c:v>
                </c:pt>
                <c:pt idx="499">
                  <c:v>9.3929379022438683E-2</c:v>
                </c:pt>
                <c:pt idx="500">
                  <c:v>5.6578059908748264</c:v>
                </c:pt>
                <c:pt idx="501">
                  <c:v>3.787944714614794</c:v>
                </c:pt>
                <c:pt idx="502">
                  <c:v>6.9490276356192426</c:v>
                </c:pt>
                <c:pt idx="503">
                  <c:v>4.449621432731508</c:v>
                </c:pt>
                <c:pt idx="504">
                  <c:v>1.0530640995538858</c:v>
                </c:pt>
                <c:pt idx="505">
                  <c:v>9.7031863814927988</c:v>
                </c:pt>
                <c:pt idx="506">
                  <c:v>0.56410969056883453</c:v>
                </c:pt>
                <c:pt idx="507">
                  <c:v>5.6207055214723924</c:v>
                </c:pt>
                <c:pt idx="508">
                  <c:v>2.4114233353695784</c:v>
                </c:pt>
                <c:pt idx="509">
                  <c:v>3.4717330861909175</c:v>
                </c:pt>
                <c:pt idx="510">
                  <c:v>1.0041755082483401</c:v>
                </c:pt>
                <c:pt idx="511">
                  <c:v>0.15927873779113449</c:v>
                </c:pt>
                <c:pt idx="512">
                  <c:v>3.0452105885563538</c:v>
                </c:pt>
                <c:pt idx="513">
                  <c:v>0.69813018698130191</c:v>
                </c:pt>
                <c:pt idx="514">
                  <c:v>7.8918014500836589E-2</c:v>
                </c:pt>
                <c:pt idx="515">
                  <c:v>2.7485679831172747</c:v>
                </c:pt>
                <c:pt idx="516">
                  <c:v>4.9019607843137254E-2</c:v>
                </c:pt>
                <c:pt idx="517">
                  <c:v>3.6076814501151473</c:v>
                </c:pt>
                <c:pt idx="518">
                  <c:v>0.70870172173103774</c:v>
                </c:pt>
                <c:pt idx="519">
                  <c:v>4.2739289695811431</c:v>
                </c:pt>
                <c:pt idx="520">
                  <c:v>2.5208622345534093</c:v>
                </c:pt>
                <c:pt idx="521">
                  <c:v>2.5246468438210017</c:v>
                </c:pt>
                <c:pt idx="522">
                  <c:v>4.9968564442892074</c:v>
                </c:pt>
                <c:pt idx="523">
                  <c:v>2.0265501184543746</c:v>
                </c:pt>
                <c:pt idx="524">
                  <c:v>3.6995729303547962</c:v>
                </c:pt>
                <c:pt idx="525">
                  <c:v>0.46920132242909346</c:v>
                </c:pt>
                <c:pt idx="526">
                  <c:v>5.9816874660878998</c:v>
                </c:pt>
                <c:pt idx="527">
                  <c:v>0.70686256943200143</c:v>
                </c:pt>
                <c:pt idx="528">
                  <c:v>2.1542944008107425</c:v>
                </c:pt>
                <c:pt idx="529">
                  <c:v>9.8490701001430612</c:v>
                </c:pt>
                <c:pt idx="530">
                  <c:v>3.1093818822493025</c:v>
                </c:pt>
                <c:pt idx="531">
                  <c:v>0.26200317965023845</c:v>
                </c:pt>
                <c:pt idx="532">
                  <c:v>0.39532362960668938</c:v>
                </c:pt>
                <c:pt idx="533">
                  <c:v>5.0963011031797532</c:v>
                </c:pt>
                <c:pt idx="534">
                  <c:v>1.2615384615384615</c:v>
                </c:pt>
                <c:pt idx="535">
                  <c:v>6.8206686930091189</c:v>
                </c:pt>
                <c:pt idx="536">
                  <c:v>2.1015771957748517</c:v>
                </c:pt>
                <c:pt idx="537">
                  <c:v>3.2392774432607689</c:v>
                </c:pt>
                <c:pt idx="538">
                  <c:v>2.8071423731110658</c:v>
                </c:pt>
                <c:pt idx="539">
                  <c:v>1.1187668307178011</c:v>
                </c:pt>
                <c:pt idx="540">
                  <c:v>0.64054441260744988</c:v>
                </c:pt>
                <c:pt idx="541">
                  <c:v>2.9716240182417026</c:v>
                </c:pt>
                <c:pt idx="542">
                  <c:v>4.0997560975609755</c:v>
                </c:pt>
                <c:pt idx="543">
                  <c:v>2.3288174052322477</c:v>
                </c:pt>
                <c:pt idx="544">
                  <c:v>6.1115311909262759</c:v>
                </c:pt>
                <c:pt idx="545">
                  <c:v>2.8420738974970203</c:v>
                </c:pt>
                <c:pt idx="546">
                  <c:v>0.38192534381139487</c:v>
                </c:pt>
                <c:pt idx="547">
                  <c:v>2.5499840983780344</c:v>
                </c:pt>
                <c:pt idx="548">
                  <c:v>4.6494088870770485</c:v>
                </c:pt>
                <c:pt idx="549">
                  <c:v>5.3417537746806039</c:v>
                </c:pt>
                <c:pt idx="550">
                  <c:v>1.8251810255652432</c:v>
                </c:pt>
                <c:pt idx="551">
                  <c:v>8.9354200395754635</c:v>
                </c:pt>
                <c:pt idx="552">
                  <c:v>1.5775236269004247</c:v>
                </c:pt>
                <c:pt idx="553">
                  <c:v>4.852490421455939</c:v>
                </c:pt>
                <c:pt idx="554">
                  <c:v>0.70338441890166026</c:v>
                </c:pt>
                <c:pt idx="555">
                  <c:v>2.5817487337042264</c:v>
                </c:pt>
                <c:pt idx="556">
                  <c:v>4.8035628310062588</c:v>
                </c:pt>
                <c:pt idx="557">
                  <c:v>10.235309212214524</c:v>
                </c:pt>
                <c:pt idx="558">
                  <c:v>2.0988342625443486</c:v>
                </c:pt>
                <c:pt idx="559">
                  <c:v>7.6754385964912277</c:v>
                </c:pt>
                <c:pt idx="560">
                  <c:v>3.1702827087442471</c:v>
                </c:pt>
                <c:pt idx="561">
                  <c:v>5.3424118387909321</c:v>
                </c:pt>
                <c:pt idx="562">
                  <c:v>2.0353315168029065</c:v>
                </c:pt>
                <c:pt idx="563">
                  <c:v>4.6481200151917967</c:v>
                </c:pt>
                <c:pt idx="564">
                  <c:v>15.283635072772453</c:v>
                </c:pt>
                <c:pt idx="565">
                  <c:v>0.62175967309411317</c:v>
                </c:pt>
                <c:pt idx="566">
                  <c:v>0.96491588018054986</c:v>
                </c:pt>
                <c:pt idx="567">
                  <c:v>16.105964678440518</c:v>
                </c:pt>
                <c:pt idx="568">
                  <c:v>2.4521417239555792</c:v>
                </c:pt>
                <c:pt idx="569">
                  <c:v>11.586690017513135</c:v>
                </c:pt>
                <c:pt idx="570">
                  <c:v>12.034810126582279</c:v>
                </c:pt>
                <c:pt idx="571">
                  <c:v>1.5803719549463022</c:v>
                </c:pt>
                <c:pt idx="572">
                  <c:v>6.1354042214257269</c:v>
                </c:pt>
                <c:pt idx="573">
                  <c:v>0.8295700587689453</c:v>
                </c:pt>
                <c:pt idx="574">
                  <c:v>3.9935624044419411</c:v>
                </c:pt>
                <c:pt idx="575">
                  <c:v>4.1085468413847055</c:v>
                </c:pt>
                <c:pt idx="576">
                  <c:v>8.0396022918773173</c:v>
                </c:pt>
                <c:pt idx="577">
                  <c:v>0.41698534098151691</c:v>
                </c:pt>
                <c:pt idx="578">
                  <c:v>17.470801595937612</c:v>
                </c:pt>
                <c:pt idx="579">
                  <c:v>1.9188267394270122</c:v>
                </c:pt>
                <c:pt idx="580">
                  <c:v>6.9589900289482145</c:v>
                </c:pt>
                <c:pt idx="581">
                  <c:v>2.3247547992287703</c:v>
                </c:pt>
                <c:pt idx="582">
                  <c:v>1.2339518555667002</c:v>
                </c:pt>
                <c:pt idx="583">
                  <c:v>1.267631980047111</c:v>
                </c:pt>
                <c:pt idx="584">
                  <c:v>2.1977471839799749</c:v>
                </c:pt>
                <c:pt idx="585">
                  <c:v>4.6252716547656005</c:v>
                </c:pt>
                <c:pt idx="586">
                  <c:v>10.280097425191371</c:v>
                </c:pt>
                <c:pt idx="587">
                  <c:v>3.7972657820667473</c:v>
                </c:pt>
                <c:pt idx="588">
                  <c:v>3.08907274895647</c:v>
                </c:pt>
                <c:pt idx="589">
                  <c:v>0.51118520111852006</c:v>
                </c:pt>
                <c:pt idx="590">
                  <c:v>1.7619346295909122</c:v>
                </c:pt>
                <c:pt idx="591">
                  <c:v>3.0030297629656033E-2</c:v>
                </c:pt>
                <c:pt idx="592">
                  <c:v>3.9207105289272599</c:v>
                </c:pt>
                <c:pt idx="593">
                  <c:v>1.9134000328030178</c:v>
                </c:pt>
                <c:pt idx="594">
                  <c:v>1.905435759209344</c:v>
                </c:pt>
                <c:pt idx="595">
                  <c:v>1.7216717708520988</c:v>
                </c:pt>
                <c:pt idx="596">
                  <c:v>8.0415930939768483</c:v>
                </c:pt>
                <c:pt idx="597">
                  <c:v>2.5172773503716259</c:v>
                </c:pt>
                <c:pt idx="598">
                  <c:v>5.5196610169491525</c:v>
                </c:pt>
                <c:pt idx="599">
                  <c:v>5.1491209489514933</c:v>
                </c:pt>
                <c:pt idx="600">
                  <c:v>0.84181182255774489</c:v>
                </c:pt>
                <c:pt idx="601">
                  <c:v>8.5399613560512915</c:v>
                </c:pt>
              </c:numCache>
            </c:numRef>
          </c:yVal>
          <c:smooth val="0"/>
          <c:extLst>
            <c:ext xmlns:c16="http://schemas.microsoft.com/office/drawing/2014/chart" uri="{C3380CC4-5D6E-409C-BE32-E72D297353CC}">
              <c16:uniqueId val="{00000000-5EE5-48AC-941E-56575A6E5AE0}"/>
            </c:ext>
          </c:extLst>
        </c:ser>
        <c:dLbls>
          <c:showLegendKey val="0"/>
          <c:showVal val="0"/>
          <c:showCatName val="0"/>
          <c:showSerName val="0"/>
          <c:showPercent val="0"/>
          <c:showBubbleSize val="0"/>
        </c:dLbls>
        <c:axId val="983742127"/>
        <c:axId val="983739727"/>
      </c:scatterChart>
      <c:valAx>
        <c:axId val="983742127"/>
        <c:scaling>
          <c:orientation val="minMax"/>
          <c:min val="57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Credit Score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83739727"/>
        <c:crosses val="autoZero"/>
        <c:crossBetween val="midCat"/>
      </c:valAx>
      <c:valAx>
        <c:axId val="9837397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DTI RATIO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837421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[AUTOMATED FINANZIA PROJECT.xlsm]pivot_tables!PivotTable11</c:name>
    <c:fmtId val="3"/>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MX"/>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MX"/>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MX"/>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hade val="58000"/>
            </a:schemeClr>
          </a:solidFill>
          <a:ln w="19050">
            <a:solidFill>
              <a:schemeClr val="lt1"/>
            </a:solidFill>
          </a:ln>
          <a:effectLst/>
        </c:spPr>
      </c:pivotFmt>
      <c:pivotFmt>
        <c:idx val="8"/>
        <c:spPr>
          <a:solidFill>
            <a:schemeClr val="accent1">
              <a:shade val="86000"/>
            </a:schemeClr>
          </a:solidFill>
          <a:ln w="19050">
            <a:solidFill>
              <a:schemeClr val="lt1"/>
            </a:solidFill>
          </a:ln>
          <a:effectLst/>
        </c:spPr>
      </c:pivotFmt>
      <c:pivotFmt>
        <c:idx val="9"/>
        <c:spPr>
          <a:solidFill>
            <a:schemeClr val="accent1">
              <a:tint val="86000"/>
            </a:schemeClr>
          </a:solidFill>
          <a:ln w="19050">
            <a:solidFill>
              <a:schemeClr val="lt1"/>
            </a:solidFill>
          </a:ln>
          <a:effectLst/>
        </c:spPr>
      </c:pivotFmt>
      <c:pivotFmt>
        <c:idx val="10"/>
        <c:spPr>
          <a:solidFill>
            <a:schemeClr val="accent1">
              <a:tint val="58000"/>
            </a:schemeClr>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tint val="70000"/>
            </a:schemeClr>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pivot_tables!$J$10</c:f>
              <c:strCache>
                <c:ptCount val="1"/>
                <c:pt idx="0">
                  <c:v>Total</c:v>
                </c:pt>
              </c:strCache>
            </c:strRef>
          </c:tx>
          <c:dPt>
            <c:idx val="0"/>
            <c:bubble3D val="0"/>
            <c:spPr>
              <a:solidFill>
                <a:schemeClr val="accent1">
                  <a:shade val="58000"/>
                </a:schemeClr>
              </a:solidFill>
              <a:ln w="19050">
                <a:solidFill>
                  <a:schemeClr val="lt1"/>
                </a:solidFill>
              </a:ln>
              <a:effectLst/>
            </c:spPr>
            <c:extLst>
              <c:ext xmlns:c16="http://schemas.microsoft.com/office/drawing/2014/chart" uri="{C3380CC4-5D6E-409C-BE32-E72D297353CC}">
                <c16:uniqueId val="{00000001-39B1-4C85-8379-CBD974817B63}"/>
              </c:ext>
            </c:extLst>
          </c:dPt>
          <c:dPt>
            <c:idx val="1"/>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3-39B1-4C85-8379-CBD974817B63}"/>
              </c:ext>
            </c:extLst>
          </c:dPt>
          <c:dPt>
            <c:idx val="2"/>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5-39B1-4C85-8379-CBD974817B63}"/>
              </c:ext>
            </c:extLst>
          </c:dPt>
          <c:dPt>
            <c:idx val="3"/>
            <c:bubble3D val="0"/>
            <c:spPr>
              <a:solidFill>
                <a:schemeClr val="accent1">
                  <a:tint val="90000"/>
                </a:schemeClr>
              </a:solidFill>
              <a:ln w="19050">
                <a:solidFill>
                  <a:schemeClr val="lt1"/>
                </a:solidFill>
              </a:ln>
              <a:effectLst/>
            </c:spPr>
            <c:extLst>
              <c:ext xmlns:c16="http://schemas.microsoft.com/office/drawing/2014/chart" uri="{C3380CC4-5D6E-409C-BE32-E72D297353CC}">
                <c16:uniqueId val="{00000007-39B1-4C85-8379-CBD974817B63}"/>
              </c:ext>
            </c:extLst>
          </c:dPt>
          <c:dPt>
            <c:idx val="4"/>
            <c:bubble3D val="0"/>
            <c:spPr>
              <a:solidFill>
                <a:schemeClr val="accent1">
                  <a:tint val="70000"/>
                </a:schemeClr>
              </a:solidFill>
              <a:ln w="19050">
                <a:solidFill>
                  <a:schemeClr val="lt1"/>
                </a:solidFill>
              </a:ln>
              <a:effectLst/>
            </c:spPr>
            <c:extLst>
              <c:ext xmlns:c16="http://schemas.microsoft.com/office/drawing/2014/chart" uri="{C3380CC4-5D6E-409C-BE32-E72D297353CC}">
                <c16:uniqueId val="{00000009-FC2D-481A-882E-F9C25DE42F40}"/>
              </c:ext>
            </c:extLst>
          </c:dPt>
          <c:dPt>
            <c:idx val="5"/>
            <c:bubble3D val="0"/>
            <c:spPr>
              <a:solidFill>
                <a:schemeClr val="accent1">
                  <a:tint val="50000"/>
                </a:schemeClr>
              </a:solidFill>
              <a:ln w="19050">
                <a:solidFill>
                  <a:schemeClr val="lt1"/>
                </a:solidFill>
              </a:ln>
              <a:effectLst/>
            </c:spPr>
            <c:extLst>
              <c:ext xmlns:c16="http://schemas.microsoft.com/office/drawing/2014/chart" uri="{C3380CC4-5D6E-409C-BE32-E72D297353CC}">
                <c16:uniqueId val="{0000000B-FC2D-481A-882E-F9C25DE42F4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MX"/>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pivot_tables!$I$11:$I$17</c:f>
              <c:strCache>
                <c:ptCount val="6"/>
                <c:pt idx="0">
                  <c:v>Age Rule</c:v>
                </c:pt>
                <c:pt idx="1">
                  <c:v>Other Risk Factors</c:v>
                </c:pt>
                <c:pt idx="2">
                  <c:v>Strong Credit Profile Rule</c:v>
                </c:pt>
                <c:pt idx="3">
                  <c:v>Mid Credit Profile Rule</c:v>
                </c:pt>
                <c:pt idx="4">
                  <c:v>Very Low Credit Score Rule</c:v>
                </c:pt>
                <c:pt idx="5">
                  <c:v>Moderate Credit Score Rule</c:v>
                </c:pt>
              </c:strCache>
            </c:strRef>
          </c:cat>
          <c:val>
            <c:numRef>
              <c:f>pivot_tables!$J$11:$J$17</c:f>
              <c:numCache>
                <c:formatCode>0.00%</c:formatCode>
                <c:ptCount val="6"/>
                <c:pt idx="0">
                  <c:v>0.12333333333333334</c:v>
                </c:pt>
                <c:pt idx="1">
                  <c:v>0.42</c:v>
                </c:pt>
                <c:pt idx="2">
                  <c:v>0.12666666666666668</c:v>
                </c:pt>
                <c:pt idx="3">
                  <c:v>2.6666666666666668E-2</c:v>
                </c:pt>
                <c:pt idx="4">
                  <c:v>0.20333333333333334</c:v>
                </c:pt>
                <c:pt idx="5">
                  <c:v>0.1</c:v>
                </c:pt>
              </c:numCache>
            </c:numRef>
          </c:val>
          <c:extLst>
            <c:ext xmlns:c16="http://schemas.microsoft.com/office/drawing/2014/chart" uri="{C3380CC4-5D6E-409C-BE32-E72D297353CC}">
              <c16:uniqueId val="{00000008-39B1-4C85-8379-CBD974817B63}"/>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[AUTOMATED FINANZIA PROJECT.xlsm]pivot_tables!scorebydecision</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pivot_tables!$D$20:$D$21</c:f>
              <c:strCache>
                <c:ptCount val="1"/>
                <c:pt idx="0">
                  <c:v>Age Rule</c:v>
                </c:pt>
              </c:strCache>
            </c:strRef>
          </c:tx>
          <c:spPr>
            <a:solidFill>
              <a:schemeClr val="accent1">
                <a:tint val="50000"/>
              </a:schemeClr>
            </a:solidFill>
            <a:ln>
              <a:noFill/>
            </a:ln>
            <a:effectLst/>
          </c:spPr>
          <c:invertIfNegative val="0"/>
          <c:cat>
            <c:strRef>
              <c:f>pivot_tables!$C$22:$C$28</c:f>
              <c:strCache>
                <c:ptCount val="6"/>
                <c:pt idx="0">
                  <c:v>582-631</c:v>
                </c:pt>
                <c:pt idx="1">
                  <c:v>632-681</c:v>
                </c:pt>
                <c:pt idx="2">
                  <c:v>682-731</c:v>
                </c:pt>
                <c:pt idx="3">
                  <c:v>732-781</c:v>
                </c:pt>
                <c:pt idx="4">
                  <c:v>782-831</c:v>
                </c:pt>
                <c:pt idx="5">
                  <c:v>832-881</c:v>
                </c:pt>
              </c:strCache>
            </c:strRef>
          </c:cat>
          <c:val>
            <c:numRef>
              <c:f>pivot_tables!$D$22:$D$28</c:f>
              <c:numCache>
                <c:formatCode>General</c:formatCode>
                <c:ptCount val="6"/>
                <c:pt idx="0">
                  <c:v>13</c:v>
                </c:pt>
                <c:pt idx="1">
                  <c:v>11</c:v>
                </c:pt>
                <c:pt idx="2">
                  <c:v>11</c:v>
                </c:pt>
                <c:pt idx="3">
                  <c:v>18</c:v>
                </c:pt>
                <c:pt idx="4">
                  <c:v>13</c:v>
                </c:pt>
                <c:pt idx="5">
                  <c:v>8</c:v>
                </c:pt>
              </c:numCache>
            </c:numRef>
          </c:val>
          <c:extLst>
            <c:ext xmlns:c16="http://schemas.microsoft.com/office/drawing/2014/chart" uri="{C3380CC4-5D6E-409C-BE32-E72D297353CC}">
              <c16:uniqueId val="{00000000-C7C4-451D-A425-5CACB94F9767}"/>
            </c:ext>
          </c:extLst>
        </c:ser>
        <c:ser>
          <c:idx val="1"/>
          <c:order val="1"/>
          <c:tx>
            <c:strRef>
              <c:f>pivot_tables!$E$20:$E$21</c:f>
              <c:strCache>
                <c:ptCount val="1"/>
                <c:pt idx="0">
                  <c:v>Other Risk Factors</c:v>
                </c:pt>
              </c:strCache>
            </c:strRef>
          </c:tx>
          <c:spPr>
            <a:solidFill>
              <a:schemeClr val="accent1">
                <a:tint val="70000"/>
              </a:schemeClr>
            </a:solidFill>
            <a:ln>
              <a:noFill/>
            </a:ln>
            <a:effectLst/>
          </c:spPr>
          <c:invertIfNegative val="0"/>
          <c:cat>
            <c:strRef>
              <c:f>pivot_tables!$C$22:$C$28</c:f>
              <c:strCache>
                <c:ptCount val="6"/>
                <c:pt idx="0">
                  <c:v>582-631</c:v>
                </c:pt>
                <c:pt idx="1">
                  <c:v>632-681</c:v>
                </c:pt>
                <c:pt idx="2">
                  <c:v>682-731</c:v>
                </c:pt>
                <c:pt idx="3">
                  <c:v>732-781</c:v>
                </c:pt>
                <c:pt idx="4">
                  <c:v>782-831</c:v>
                </c:pt>
                <c:pt idx="5">
                  <c:v>832-881</c:v>
                </c:pt>
              </c:strCache>
            </c:strRef>
          </c:cat>
          <c:val>
            <c:numRef>
              <c:f>pivot_tables!$E$22:$E$28</c:f>
              <c:numCache>
                <c:formatCode>General</c:formatCode>
                <c:ptCount val="6"/>
                <c:pt idx="1">
                  <c:v>3</c:v>
                </c:pt>
                <c:pt idx="2">
                  <c:v>75</c:v>
                </c:pt>
                <c:pt idx="3">
                  <c:v>69</c:v>
                </c:pt>
                <c:pt idx="4">
                  <c:v>80</c:v>
                </c:pt>
                <c:pt idx="5">
                  <c:v>25</c:v>
                </c:pt>
              </c:numCache>
            </c:numRef>
          </c:val>
          <c:extLst>
            <c:ext xmlns:c16="http://schemas.microsoft.com/office/drawing/2014/chart" uri="{C3380CC4-5D6E-409C-BE32-E72D297353CC}">
              <c16:uniqueId val="{00000013-C7C4-451D-A425-5CACB94F9767}"/>
            </c:ext>
          </c:extLst>
        </c:ser>
        <c:ser>
          <c:idx val="2"/>
          <c:order val="2"/>
          <c:tx>
            <c:strRef>
              <c:f>pivot_tables!$F$20:$F$21</c:f>
              <c:strCache>
                <c:ptCount val="1"/>
                <c:pt idx="0">
                  <c:v>Strong Credit Profile Rule</c:v>
                </c:pt>
              </c:strCache>
            </c:strRef>
          </c:tx>
          <c:spPr>
            <a:solidFill>
              <a:schemeClr val="accent1">
                <a:tint val="90000"/>
              </a:schemeClr>
            </a:solidFill>
            <a:ln>
              <a:noFill/>
            </a:ln>
            <a:effectLst/>
          </c:spPr>
          <c:invertIfNegative val="0"/>
          <c:cat>
            <c:strRef>
              <c:f>pivot_tables!$C$22:$C$28</c:f>
              <c:strCache>
                <c:ptCount val="6"/>
                <c:pt idx="0">
                  <c:v>582-631</c:v>
                </c:pt>
                <c:pt idx="1">
                  <c:v>632-681</c:v>
                </c:pt>
                <c:pt idx="2">
                  <c:v>682-731</c:v>
                </c:pt>
                <c:pt idx="3">
                  <c:v>732-781</c:v>
                </c:pt>
                <c:pt idx="4">
                  <c:v>782-831</c:v>
                </c:pt>
                <c:pt idx="5">
                  <c:v>832-881</c:v>
                </c:pt>
              </c:strCache>
            </c:strRef>
          </c:cat>
          <c:val>
            <c:numRef>
              <c:f>pivot_tables!$F$22:$F$28</c:f>
              <c:numCache>
                <c:formatCode>General</c:formatCode>
                <c:ptCount val="6"/>
                <c:pt idx="2">
                  <c:v>16</c:v>
                </c:pt>
                <c:pt idx="3">
                  <c:v>29</c:v>
                </c:pt>
                <c:pt idx="4">
                  <c:v>20</c:v>
                </c:pt>
                <c:pt idx="5">
                  <c:v>11</c:v>
                </c:pt>
              </c:numCache>
            </c:numRef>
          </c:val>
          <c:extLst>
            <c:ext xmlns:c16="http://schemas.microsoft.com/office/drawing/2014/chart" uri="{C3380CC4-5D6E-409C-BE32-E72D297353CC}">
              <c16:uniqueId val="{00000034-C7C4-451D-A425-5CACB94F9767}"/>
            </c:ext>
          </c:extLst>
        </c:ser>
        <c:ser>
          <c:idx val="3"/>
          <c:order val="3"/>
          <c:tx>
            <c:strRef>
              <c:f>pivot_tables!$G$20:$G$21</c:f>
              <c:strCache>
                <c:ptCount val="1"/>
                <c:pt idx="0">
                  <c:v>Mid Credit Profile Rule</c:v>
                </c:pt>
              </c:strCache>
            </c:strRef>
          </c:tx>
          <c:spPr>
            <a:solidFill>
              <a:schemeClr val="accent1">
                <a:shade val="90000"/>
              </a:schemeClr>
            </a:solidFill>
            <a:ln>
              <a:noFill/>
            </a:ln>
            <a:effectLst/>
          </c:spPr>
          <c:invertIfNegative val="0"/>
          <c:cat>
            <c:strRef>
              <c:f>pivot_tables!$C$22:$C$28</c:f>
              <c:strCache>
                <c:ptCount val="6"/>
                <c:pt idx="0">
                  <c:v>582-631</c:v>
                </c:pt>
                <c:pt idx="1">
                  <c:v>632-681</c:v>
                </c:pt>
                <c:pt idx="2">
                  <c:v>682-731</c:v>
                </c:pt>
                <c:pt idx="3">
                  <c:v>732-781</c:v>
                </c:pt>
                <c:pt idx="4">
                  <c:v>782-831</c:v>
                </c:pt>
                <c:pt idx="5">
                  <c:v>832-881</c:v>
                </c:pt>
              </c:strCache>
            </c:strRef>
          </c:cat>
          <c:val>
            <c:numRef>
              <c:f>pivot_tables!$G$22:$G$28</c:f>
              <c:numCache>
                <c:formatCode>General</c:formatCode>
                <c:ptCount val="6"/>
                <c:pt idx="1">
                  <c:v>3</c:v>
                </c:pt>
                <c:pt idx="2">
                  <c:v>13</c:v>
                </c:pt>
              </c:numCache>
            </c:numRef>
          </c:val>
          <c:extLst>
            <c:ext xmlns:c16="http://schemas.microsoft.com/office/drawing/2014/chart" uri="{C3380CC4-5D6E-409C-BE32-E72D297353CC}">
              <c16:uniqueId val="{00000035-C7C4-451D-A425-5CACB94F9767}"/>
            </c:ext>
          </c:extLst>
        </c:ser>
        <c:ser>
          <c:idx val="4"/>
          <c:order val="4"/>
          <c:tx>
            <c:strRef>
              <c:f>pivot_tables!$H$20:$H$21</c:f>
              <c:strCache>
                <c:ptCount val="1"/>
                <c:pt idx="0">
                  <c:v>Very Low Credit Score Rule</c:v>
                </c:pt>
              </c:strCache>
            </c:strRef>
          </c:tx>
          <c:spPr>
            <a:solidFill>
              <a:schemeClr val="accent1">
                <a:shade val="70000"/>
              </a:schemeClr>
            </a:solidFill>
            <a:ln>
              <a:noFill/>
            </a:ln>
            <a:effectLst/>
          </c:spPr>
          <c:invertIfNegative val="0"/>
          <c:cat>
            <c:strRef>
              <c:f>pivot_tables!$C$22:$C$28</c:f>
              <c:strCache>
                <c:ptCount val="6"/>
                <c:pt idx="0">
                  <c:v>582-631</c:v>
                </c:pt>
                <c:pt idx="1">
                  <c:v>632-681</c:v>
                </c:pt>
                <c:pt idx="2">
                  <c:v>682-731</c:v>
                </c:pt>
                <c:pt idx="3">
                  <c:v>732-781</c:v>
                </c:pt>
                <c:pt idx="4">
                  <c:v>782-831</c:v>
                </c:pt>
                <c:pt idx="5">
                  <c:v>832-881</c:v>
                </c:pt>
              </c:strCache>
            </c:strRef>
          </c:cat>
          <c:val>
            <c:numRef>
              <c:f>pivot_tables!$H$22:$H$28</c:f>
              <c:numCache>
                <c:formatCode>General</c:formatCode>
                <c:ptCount val="6"/>
                <c:pt idx="0">
                  <c:v>75</c:v>
                </c:pt>
                <c:pt idx="1">
                  <c:v>47</c:v>
                </c:pt>
              </c:numCache>
            </c:numRef>
          </c:val>
          <c:extLst>
            <c:ext xmlns:c16="http://schemas.microsoft.com/office/drawing/2014/chart" uri="{C3380CC4-5D6E-409C-BE32-E72D297353CC}">
              <c16:uniqueId val="{00000036-C7C4-451D-A425-5CACB94F9767}"/>
            </c:ext>
          </c:extLst>
        </c:ser>
        <c:ser>
          <c:idx val="5"/>
          <c:order val="5"/>
          <c:tx>
            <c:strRef>
              <c:f>pivot_tables!$I$20:$I$21</c:f>
              <c:strCache>
                <c:ptCount val="1"/>
                <c:pt idx="0">
                  <c:v>Moderate Credit Score Rule</c:v>
                </c:pt>
              </c:strCache>
            </c:strRef>
          </c:tx>
          <c:spPr>
            <a:solidFill>
              <a:schemeClr val="accent1">
                <a:shade val="50000"/>
              </a:schemeClr>
            </a:solidFill>
            <a:ln>
              <a:noFill/>
            </a:ln>
            <a:effectLst/>
          </c:spPr>
          <c:invertIfNegative val="0"/>
          <c:cat>
            <c:strRef>
              <c:f>pivot_tables!$C$22:$C$28</c:f>
              <c:strCache>
                <c:ptCount val="6"/>
                <c:pt idx="0">
                  <c:v>582-631</c:v>
                </c:pt>
                <c:pt idx="1">
                  <c:v>632-681</c:v>
                </c:pt>
                <c:pt idx="2">
                  <c:v>682-731</c:v>
                </c:pt>
                <c:pt idx="3">
                  <c:v>732-781</c:v>
                </c:pt>
                <c:pt idx="4">
                  <c:v>782-831</c:v>
                </c:pt>
                <c:pt idx="5">
                  <c:v>832-881</c:v>
                </c:pt>
              </c:strCache>
            </c:strRef>
          </c:cat>
          <c:val>
            <c:numRef>
              <c:f>pivot_tables!$I$22:$I$28</c:f>
              <c:numCache>
                <c:formatCode>General</c:formatCode>
                <c:ptCount val="6"/>
                <c:pt idx="1">
                  <c:v>60</c:v>
                </c:pt>
              </c:numCache>
            </c:numRef>
          </c:val>
          <c:extLst>
            <c:ext xmlns:c16="http://schemas.microsoft.com/office/drawing/2014/chart" uri="{C3380CC4-5D6E-409C-BE32-E72D297353CC}">
              <c16:uniqueId val="{00000037-C7C4-451D-A425-5CACB94F9767}"/>
            </c:ext>
          </c:extLst>
        </c:ser>
        <c:dLbls>
          <c:showLegendKey val="0"/>
          <c:showVal val="0"/>
          <c:showCatName val="0"/>
          <c:showSerName val="0"/>
          <c:showPercent val="0"/>
          <c:showBubbleSize val="0"/>
        </c:dLbls>
        <c:gapWidth val="167"/>
        <c:overlap val="-27"/>
        <c:axId val="1718261519"/>
        <c:axId val="1718261999"/>
      </c:barChart>
      <c:catAx>
        <c:axId val="171826151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a:t>Credit score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18261999"/>
        <c:crosses val="autoZero"/>
        <c:auto val="1"/>
        <c:lblAlgn val="ctr"/>
        <c:lblOffset val="60"/>
        <c:tickLblSkip val="1"/>
        <c:noMultiLvlLbl val="0"/>
      </c:catAx>
      <c:valAx>
        <c:axId val="17182619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baseline="0"/>
                  <a:t>Clients</a:t>
                </a:r>
                <a:endParaRPr lang="es-MX"/>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18261519"/>
        <c:crosses val="autoZero"/>
        <c:crossBetween val="between"/>
      </c:valAx>
      <c:spPr>
        <a:noFill/>
        <a:ln w="22225">
          <a:solidFill>
            <a:sysClr val="windowText" lastClr="000000">
              <a:lumMod val="25000"/>
              <a:lumOff val="75000"/>
              <a:alpha val="93000"/>
            </a:sys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 FINANZIA PROJECT.xlsm]pivot_tables!rule by current debt</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pivot_tables!$G$10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pivot_tables!$F$11:$F$17</c:f>
              <c:strCache>
                <c:ptCount val="6"/>
                <c:pt idx="0">
                  <c:v>Age Rule</c:v>
                </c:pt>
                <c:pt idx="1">
                  <c:v>Other Risk Factors</c:v>
                </c:pt>
                <c:pt idx="2">
                  <c:v>Strong Credit Profile Rule</c:v>
                </c:pt>
                <c:pt idx="3">
                  <c:v>Mid Credit Profile Rule</c:v>
                </c:pt>
                <c:pt idx="4">
                  <c:v>Very Low Credit Score Rule</c:v>
                </c:pt>
                <c:pt idx="5">
                  <c:v>Moderate Credit Score Rule</c:v>
                </c:pt>
              </c:strCache>
            </c:strRef>
          </c:cat>
          <c:val>
            <c:numRef>
              <c:f>pivot_tables!$G$11:$G$17</c:f>
              <c:numCache>
                <c:formatCode>"$"#,##0.00</c:formatCode>
                <c:ptCount val="6"/>
                <c:pt idx="0">
                  <c:v>1976376</c:v>
                </c:pt>
                <c:pt idx="1">
                  <c:v>7620726</c:v>
                </c:pt>
                <c:pt idx="2">
                  <c:v>596107</c:v>
                </c:pt>
                <c:pt idx="3">
                  <c:v>110464</c:v>
                </c:pt>
                <c:pt idx="4">
                  <c:v>2991949</c:v>
                </c:pt>
                <c:pt idx="5">
                  <c:v>1545750</c:v>
                </c:pt>
              </c:numCache>
            </c:numRef>
          </c:val>
          <c:extLst>
            <c:ext xmlns:c16="http://schemas.microsoft.com/office/drawing/2014/chart" uri="{C3380CC4-5D6E-409C-BE32-E72D297353CC}">
              <c16:uniqueId val="{00000000-8DCF-4A45-8958-9D24B3B90371}"/>
            </c:ext>
          </c:extLst>
        </c:ser>
        <c:dLbls>
          <c:dLblPos val="outEnd"/>
          <c:showLegendKey val="0"/>
          <c:showVal val="1"/>
          <c:showCatName val="0"/>
          <c:showSerName val="0"/>
          <c:showPercent val="0"/>
          <c:showBubbleSize val="0"/>
        </c:dLbls>
        <c:gapWidth val="182"/>
        <c:axId val="99296640"/>
        <c:axId val="99286080"/>
      </c:barChart>
      <c:catAx>
        <c:axId val="99296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9286080"/>
        <c:crosses val="autoZero"/>
        <c:auto val="1"/>
        <c:lblAlgn val="ctr"/>
        <c:lblOffset val="100"/>
        <c:noMultiLvlLbl val="0"/>
      </c:catAx>
      <c:valAx>
        <c:axId val="992860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9296640"/>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Reversed" id="21">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hyperlink" Target="#Evaluations!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dashboards!A1"/><Relationship Id="rId16" Type="http://schemas.openxmlformats.org/officeDocument/2006/relationships/image" Target="../media/image11.sv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hyperlink" Target="mailto:pau.brito@outlook.com?subject=questions%20" TargetMode="External"/><Relationship Id="rId5" Type="http://schemas.openxmlformats.org/officeDocument/2006/relationships/hyperlink" Target="#pivot_tables!A1"/><Relationship Id="rId15" Type="http://schemas.openxmlformats.org/officeDocument/2006/relationships/image" Target="../media/image10.png"/><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hyperlink" Target="#Client_look_up!A1"/></Relationships>
</file>

<file path=xl/drawings/_rels/drawing3.xml.rels><?xml version="1.0" encoding="UTF-8" standalone="yes"?>
<Relationships xmlns="http://schemas.openxmlformats.org/package/2006/relationships"><Relationship Id="rId8" Type="http://schemas.openxmlformats.org/officeDocument/2006/relationships/hyperlink" Target="#Evaluations!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dashboards!A1"/><Relationship Id="rId16" Type="http://schemas.openxmlformats.org/officeDocument/2006/relationships/image" Target="../media/image13.svg"/><Relationship Id="rId1" Type="http://schemas.openxmlformats.org/officeDocument/2006/relationships/image" Target="../media/image12.png"/><Relationship Id="rId6" Type="http://schemas.openxmlformats.org/officeDocument/2006/relationships/image" Target="../media/image4.png"/><Relationship Id="rId11" Type="http://schemas.openxmlformats.org/officeDocument/2006/relationships/hyperlink" Target="mailto:pau.brito@outlook.com?subject=questions%20" TargetMode="External"/><Relationship Id="rId5" Type="http://schemas.openxmlformats.org/officeDocument/2006/relationships/hyperlink" Target="#pivot_tables!A1"/><Relationship Id="rId15" Type="http://schemas.openxmlformats.org/officeDocument/2006/relationships/image" Target="../media/image10.png"/><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hyperlink" Target="#Client_look_up!A1"/></Relationships>
</file>

<file path=xl/drawings/_rels/drawing4.xml.rels><?xml version="1.0" encoding="UTF-8" standalone="yes"?>
<Relationships xmlns="http://schemas.openxmlformats.org/package/2006/relationships"><Relationship Id="rId8" Type="http://schemas.openxmlformats.org/officeDocument/2006/relationships/hyperlink" Target="#Evaluations!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dashboards!A1"/><Relationship Id="rId16" Type="http://schemas.openxmlformats.org/officeDocument/2006/relationships/image" Target="../media/image11.svg"/><Relationship Id="rId1" Type="http://schemas.openxmlformats.org/officeDocument/2006/relationships/image" Target="../media/image14.png"/><Relationship Id="rId6" Type="http://schemas.openxmlformats.org/officeDocument/2006/relationships/image" Target="../media/image4.png"/><Relationship Id="rId11" Type="http://schemas.openxmlformats.org/officeDocument/2006/relationships/hyperlink" Target="mailto:pau.brito@outlook.com?subject=questions%20" TargetMode="External"/><Relationship Id="rId5" Type="http://schemas.openxmlformats.org/officeDocument/2006/relationships/hyperlink" Target="#pivot_tables!A1"/><Relationship Id="rId15" Type="http://schemas.openxmlformats.org/officeDocument/2006/relationships/image" Target="../media/image10.png"/><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hyperlink" Target="#Client_look_up!A1"/></Relationships>
</file>

<file path=xl/drawings/_rels/drawing5.xml.rels><?xml version="1.0" encoding="UTF-8" standalone="yes"?>
<Relationships xmlns="http://schemas.openxmlformats.org/package/2006/relationships"><Relationship Id="rId8" Type="http://schemas.openxmlformats.org/officeDocument/2006/relationships/hyperlink" Target="#Evaluations!A1"/><Relationship Id="rId13" Type="http://schemas.openxmlformats.org/officeDocument/2006/relationships/image" Target="../media/image9.svg"/><Relationship Id="rId18" Type="http://schemas.openxmlformats.org/officeDocument/2006/relationships/chart" Target="../charts/chart5.xml"/><Relationship Id="rId3" Type="http://schemas.openxmlformats.org/officeDocument/2006/relationships/image" Target="../media/image2.png"/><Relationship Id="rId21" Type="http://schemas.openxmlformats.org/officeDocument/2006/relationships/image" Target="../media/image10.png"/><Relationship Id="rId7" Type="http://schemas.openxmlformats.org/officeDocument/2006/relationships/image" Target="../media/image5.svg"/><Relationship Id="rId12" Type="http://schemas.openxmlformats.org/officeDocument/2006/relationships/image" Target="../media/image8.png"/><Relationship Id="rId17" Type="http://schemas.openxmlformats.org/officeDocument/2006/relationships/chart" Target="../charts/chart4.xml"/><Relationship Id="rId2" Type="http://schemas.openxmlformats.org/officeDocument/2006/relationships/hyperlink" Target="#dashboards!A1"/><Relationship Id="rId16" Type="http://schemas.openxmlformats.org/officeDocument/2006/relationships/chart" Target="../charts/chart3.xml"/><Relationship Id="rId20" Type="http://schemas.openxmlformats.org/officeDocument/2006/relationships/hyperlink" Target="#Client_look_up!A1"/><Relationship Id="rId1" Type="http://schemas.openxmlformats.org/officeDocument/2006/relationships/image" Target="../media/image12.png"/><Relationship Id="rId6" Type="http://schemas.openxmlformats.org/officeDocument/2006/relationships/image" Target="../media/image4.png"/><Relationship Id="rId11" Type="http://schemas.openxmlformats.org/officeDocument/2006/relationships/hyperlink" Target="mailto:pau.brito@outlook.com?subject=questions%20" TargetMode="External"/><Relationship Id="rId5" Type="http://schemas.openxmlformats.org/officeDocument/2006/relationships/hyperlink" Target="#pivot_tables!A1"/><Relationship Id="rId15" Type="http://schemas.openxmlformats.org/officeDocument/2006/relationships/chart" Target="../charts/chart2.xml"/><Relationship Id="rId10" Type="http://schemas.openxmlformats.org/officeDocument/2006/relationships/image" Target="../media/image7.svg"/><Relationship Id="rId19" Type="http://schemas.openxmlformats.org/officeDocument/2006/relationships/chart" Target="../charts/chart6.xml"/><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chart" Target="../charts/chart1.xml"/><Relationship Id="rId22"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342900</xdr:colOff>
          <xdr:row>1</xdr:row>
          <xdr:rowOff>60960</xdr:rowOff>
        </xdr:from>
        <xdr:to>
          <xdr:col>15</xdr:col>
          <xdr:colOff>129540</xdr:colOff>
          <xdr:row>4</xdr:row>
          <xdr:rowOff>129540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Aptos Narrow"/>
                </a:rPr>
                <a:t>Refresh, Deduplicate and Clean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327660</xdr:colOff>
          <xdr:row>1</xdr:row>
          <xdr:rowOff>53340</xdr:rowOff>
        </xdr:from>
        <xdr:to>
          <xdr:col>14</xdr:col>
          <xdr:colOff>708660</xdr:colOff>
          <xdr:row>8</xdr:row>
          <xdr:rowOff>91440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Aptos Narrow"/>
                </a:rPr>
                <a:t>Update evaluations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304800</xdr:colOff>
          <xdr:row>9</xdr:row>
          <xdr:rowOff>152400</xdr:rowOff>
        </xdr:from>
        <xdr:to>
          <xdr:col>14</xdr:col>
          <xdr:colOff>838200</xdr:colOff>
          <xdr:row>15</xdr:row>
          <xdr:rowOff>68580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Aptos Narrow"/>
                </a:rPr>
                <a:t>Reevaluate all clients</a:t>
              </a:r>
            </a:p>
          </xdr:txBody>
        </xdr:sp>
        <xdr:clientData fPrintsWithSheet="0"/>
      </xdr:twoCellAnchor>
    </mc:Choice>
    <mc:Fallback/>
  </mc:AlternateContent>
  <xdr:twoCellAnchor editAs="oneCell">
    <xdr:from>
      <xdr:col>16</xdr:col>
      <xdr:colOff>98792</xdr:colOff>
      <xdr:row>1</xdr:row>
      <xdr:rowOff>13649</xdr:rowOff>
    </xdr:from>
    <xdr:to>
      <xdr:col>16</xdr:col>
      <xdr:colOff>1100357</xdr:colOff>
      <xdr:row>5</xdr:row>
      <xdr:rowOff>70189</xdr:rowOff>
    </xdr:to>
    <xdr:pic>
      <xdr:nvPicPr>
        <xdr:cNvPr id="7" name="Picture 6">
          <a:extLst>
            <a:ext uri="{FF2B5EF4-FFF2-40B4-BE49-F238E27FC236}">
              <a16:creationId xmlns:a16="http://schemas.microsoft.com/office/drawing/2014/main" id="{665EE96A-7AEF-47E8-953D-52586FDD19B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735" t="24259" r="23420" b="21583"/>
        <a:stretch>
          <a:fillRect/>
        </a:stretch>
      </xdr:blipFill>
      <xdr:spPr>
        <a:xfrm>
          <a:off x="13710883" y="198376"/>
          <a:ext cx="1001565" cy="7954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16</xdr:col>
      <xdr:colOff>143773</xdr:colOff>
      <xdr:row>6</xdr:row>
      <xdr:rowOff>86263</xdr:rowOff>
    </xdr:from>
    <xdr:to>
      <xdr:col>16</xdr:col>
      <xdr:colOff>1195608</xdr:colOff>
      <xdr:row>11</xdr:row>
      <xdr:rowOff>14376</xdr:rowOff>
    </xdr:to>
    <xdr:pic>
      <xdr:nvPicPr>
        <xdr:cNvPr id="8" name="Graphic 7" descr="Bar chart outline">
          <a:hlinkClick xmlns:r="http://schemas.openxmlformats.org/officeDocument/2006/relationships" r:id="rId2"/>
          <a:extLst>
            <a:ext uri="{FF2B5EF4-FFF2-40B4-BE49-F238E27FC236}">
              <a16:creationId xmlns:a16="http://schemas.microsoft.com/office/drawing/2014/main" id="{3F9B3C65-995B-4397-943F-4F510005572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3773" y="1191163"/>
          <a:ext cx="1047678" cy="842513"/>
        </a:xfrm>
        <a:prstGeom prst="rect">
          <a:avLst/>
        </a:prstGeom>
      </xdr:spPr>
    </xdr:pic>
    <xdr:clientData/>
  </xdr:twoCellAnchor>
  <xdr:twoCellAnchor editAs="oneCell">
    <xdr:from>
      <xdr:col>16</xdr:col>
      <xdr:colOff>79075</xdr:colOff>
      <xdr:row>11</xdr:row>
      <xdr:rowOff>150962</xdr:rowOff>
    </xdr:from>
    <xdr:to>
      <xdr:col>16</xdr:col>
      <xdr:colOff>1218612</xdr:colOff>
      <xdr:row>16</xdr:row>
      <xdr:rowOff>166777</xdr:rowOff>
    </xdr:to>
    <xdr:pic>
      <xdr:nvPicPr>
        <xdr:cNvPr id="9" name="Graphic 8" descr="Table outline">
          <a:hlinkClick xmlns:r="http://schemas.openxmlformats.org/officeDocument/2006/relationships" r:id="rId5"/>
          <a:extLst>
            <a:ext uri="{FF2B5EF4-FFF2-40B4-BE49-F238E27FC236}">
              <a16:creationId xmlns:a16="http://schemas.microsoft.com/office/drawing/2014/main" id="{43CFD217-0785-4436-A6A0-69B124C540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075" y="2170262"/>
          <a:ext cx="1135380" cy="930215"/>
        </a:xfrm>
        <a:prstGeom prst="rect">
          <a:avLst/>
        </a:prstGeom>
      </xdr:spPr>
    </xdr:pic>
    <xdr:clientData/>
  </xdr:twoCellAnchor>
  <xdr:twoCellAnchor editAs="oneCell">
    <xdr:from>
      <xdr:col>16</xdr:col>
      <xdr:colOff>129395</xdr:colOff>
      <xdr:row>16</xdr:row>
      <xdr:rowOff>165339</xdr:rowOff>
    </xdr:from>
    <xdr:to>
      <xdr:col>16</xdr:col>
      <xdr:colOff>1188419</xdr:colOff>
      <xdr:row>21</xdr:row>
      <xdr:rowOff>100641</xdr:rowOff>
    </xdr:to>
    <xdr:pic>
      <xdr:nvPicPr>
        <xdr:cNvPr id="10" name="Graphic 9" descr="Checkbox Checked outline">
          <a:hlinkClick xmlns:r="http://schemas.openxmlformats.org/officeDocument/2006/relationships" r:id="rId8"/>
          <a:extLst>
            <a:ext uri="{FF2B5EF4-FFF2-40B4-BE49-F238E27FC236}">
              <a16:creationId xmlns:a16="http://schemas.microsoft.com/office/drawing/2014/main" id="{C7798538-4675-48A7-9F29-B7E0E6F7D52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395" y="3099039"/>
          <a:ext cx="1054867" cy="849702"/>
        </a:xfrm>
        <a:prstGeom prst="rect">
          <a:avLst/>
        </a:prstGeom>
      </xdr:spPr>
    </xdr:pic>
    <xdr:clientData/>
  </xdr:twoCellAnchor>
  <xdr:twoCellAnchor editAs="oneCell">
    <xdr:from>
      <xdr:col>16</xdr:col>
      <xdr:colOff>208472</xdr:colOff>
      <xdr:row>22</xdr:row>
      <xdr:rowOff>129396</xdr:rowOff>
    </xdr:from>
    <xdr:to>
      <xdr:col>16</xdr:col>
      <xdr:colOff>833888</xdr:colOff>
      <xdr:row>26</xdr:row>
      <xdr:rowOff>35944</xdr:rowOff>
    </xdr:to>
    <xdr:pic>
      <xdr:nvPicPr>
        <xdr:cNvPr id="11" name="Graphic 10" descr="Email outline">
          <a:hlinkClick xmlns:r="http://schemas.openxmlformats.org/officeDocument/2006/relationships" r:id="rId11"/>
          <a:extLst>
            <a:ext uri="{FF2B5EF4-FFF2-40B4-BE49-F238E27FC236}">
              <a16:creationId xmlns:a16="http://schemas.microsoft.com/office/drawing/2014/main" id="{EDE4281C-7035-4481-812C-7554729DA74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472" y="4160376"/>
          <a:ext cx="625416" cy="638068"/>
        </a:xfrm>
        <a:prstGeom prst="rect">
          <a:avLst/>
        </a:prstGeom>
      </xdr:spPr>
    </xdr:pic>
    <xdr:clientData/>
  </xdr:twoCellAnchor>
  <xdr:twoCellAnchor editAs="oneCell">
    <xdr:from>
      <xdr:col>16</xdr:col>
      <xdr:colOff>164757</xdr:colOff>
      <xdr:row>27</xdr:row>
      <xdr:rowOff>20594</xdr:rowOff>
    </xdr:from>
    <xdr:to>
      <xdr:col>16</xdr:col>
      <xdr:colOff>897821</xdr:colOff>
      <xdr:row>31</xdr:row>
      <xdr:rowOff>12253</xdr:rowOff>
    </xdr:to>
    <xdr:pic>
      <xdr:nvPicPr>
        <xdr:cNvPr id="12" name="Graphic 11" descr="Employee badge outline">
          <a:hlinkClick xmlns:r="http://schemas.openxmlformats.org/officeDocument/2006/relationships" r:id="rId14"/>
          <a:extLst>
            <a:ext uri="{FF2B5EF4-FFF2-40B4-BE49-F238E27FC236}">
              <a16:creationId xmlns:a16="http://schemas.microsoft.com/office/drawing/2014/main" id="{24BB942D-2716-4EB5-AE0B-82EF17C2599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64757" y="4965974"/>
          <a:ext cx="733064" cy="7231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133428</xdr:colOff>
      <xdr:row>1</xdr:row>
      <xdr:rowOff>2104</xdr:rowOff>
    </xdr:from>
    <xdr:to>
      <xdr:col>0</xdr:col>
      <xdr:colOff>914013</xdr:colOff>
      <xdr:row>5</xdr:row>
      <xdr:rowOff>23370</xdr:rowOff>
    </xdr:to>
    <xdr:pic>
      <xdr:nvPicPr>
        <xdr:cNvPr id="2" name="Picture 1">
          <a:extLst>
            <a:ext uri="{FF2B5EF4-FFF2-40B4-BE49-F238E27FC236}">
              <a16:creationId xmlns:a16="http://schemas.microsoft.com/office/drawing/2014/main" id="{2A9116D7-3C34-490A-A432-7FB13190735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735" t="24259" r="23420" b="21583"/>
        <a:stretch>
          <a:fillRect/>
        </a:stretch>
      </xdr:blipFill>
      <xdr:spPr>
        <a:xfrm>
          <a:off x="133428" y="184984"/>
          <a:ext cx="780585" cy="78326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0</xdr:col>
      <xdr:colOff>143773</xdr:colOff>
      <xdr:row>6</xdr:row>
      <xdr:rowOff>86263</xdr:rowOff>
    </xdr:from>
    <xdr:to>
      <xdr:col>0</xdr:col>
      <xdr:colOff>970471</xdr:colOff>
      <xdr:row>10</xdr:row>
      <xdr:rowOff>136295</xdr:rowOff>
    </xdr:to>
    <xdr:pic>
      <xdr:nvPicPr>
        <xdr:cNvPr id="3" name="Graphic 2" descr="Bar chart outline">
          <a:hlinkClick xmlns:r="http://schemas.openxmlformats.org/officeDocument/2006/relationships" r:id="rId2"/>
          <a:extLst>
            <a:ext uri="{FF2B5EF4-FFF2-40B4-BE49-F238E27FC236}">
              <a16:creationId xmlns:a16="http://schemas.microsoft.com/office/drawing/2014/main" id="{560D2A5F-370A-4E1A-8553-FA778CD61AB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3773" y="1335943"/>
          <a:ext cx="826698" cy="842512"/>
        </a:xfrm>
        <a:prstGeom prst="rect">
          <a:avLst/>
        </a:prstGeom>
      </xdr:spPr>
    </xdr:pic>
    <xdr:clientData/>
  </xdr:twoCellAnchor>
  <xdr:twoCellAnchor editAs="oneCell">
    <xdr:from>
      <xdr:col>0</xdr:col>
      <xdr:colOff>79075</xdr:colOff>
      <xdr:row>11</xdr:row>
      <xdr:rowOff>150962</xdr:rowOff>
    </xdr:from>
    <xdr:to>
      <xdr:col>0</xdr:col>
      <xdr:colOff>993475</xdr:colOff>
      <xdr:row>16</xdr:row>
      <xdr:rowOff>105818</xdr:rowOff>
    </xdr:to>
    <xdr:pic>
      <xdr:nvPicPr>
        <xdr:cNvPr id="4" name="Graphic 3" descr="Table outline">
          <a:hlinkClick xmlns:r="http://schemas.openxmlformats.org/officeDocument/2006/relationships" r:id="rId5"/>
          <a:extLst>
            <a:ext uri="{FF2B5EF4-FFF2-40B4-BE49-F238E27FC236}">
              <a16:creationId xmlns:a16="http://schemas.microsoft.com/office/drawing/2014/main" id="{02F84C32-32FD-46E5-9FB2-3BBE5989632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075" y="2315042"/>
          <a:ext cx="914400" cy="930216"/>
        </a:xfrm>
        <a:prstGeom prst="rect">
          <a:avLst/>
        </a:prstGeom>
      </xdr:spPr>
    </xdr:pic>
    <xdr:clientData/>
  </xdr:twoCellAnchor>
  <xdr:twoCellAnchor editAs="oneCell">
    <xdr:from>
      <xdr:col>0</xdr:col>
      <xdr:colOff>129395</xdr:colOff>
      <xdr:row>16</xdr:row>
      <xdr:rowOff>165339</xdr:rowOff>
    </xdr:from>
    <xdr:to>
      <xdr:col>0</xdr:col>
      <xdr:colOff>963282</xdr:colOff>
      <xdr:row>21</xdr:row>
      <xdr:rowOff>100641</xdr:rowOff>
    </xdr:to>
    <xdr:pic>
      <xdr:nvPicPr>
        <xdr:cNvPr id="5" name="Graphic 4" descr="Checkbox Checked outline">
          <a:hlinkClick xmlns:r="http://schemas.openxmlformats.org/officeDocument/2006/relationships" r:id="rId8"/>
          <a:extLst>
            <a:ext uri="{FF2B5EF4-FFF2-40B4-BE49-F238E27FC236}">
              <a16:creationId xmlns:a16="http://schemas.microsoft.com/office/drawing/2014/main" id="{DB9FBB0A-F047-4570-B41A-A5DB3F9BB73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395" y="3243819"/>
          <a:ext cx="833887" cy="849702"/>
        </a:xfrm>
        <a:prstGeom prst="rect">
          <a:avLst/>
        </a:prstGeom>
      </xdr:spPr>
    </xdr:pic>
    <xdr:clientData/>
  </xdr:twoCellAnchor>
  <xdr:twoCellAnchor editAs="oneCell">
    <xdr:from>
      <xdr:col>0</xdr:col>
      <xdr:colOff>208472</xdr:colOff>
      <xdr:row>22</xdr:row>
      <xdr:rowOff>129396</xdr:rowOff>
    </xdr:from>
    <xdr:to>
      <xdr:col>0</xdr:col>
      <xdr:colOff>833888</xdr:colOff>
      <xdr:row>26</xdr:row>
      <xdr:rowOff>35944</xdr:rowOff>
    </xdr:to>
    <xdr:pic>
      <xdr:nvPicPr>
        <xdr:cNvPr id="6" name="Graphic 5" descr="Email outline">
          <a:hlinkClick xmlns:r="http://schemas.openxmlformats.org/officeDocument/2006/relationships" r:id="rId11"/>
          <a:extLst>
            <a:ext uri="{FF2B5EF4-FFF2-40B4-BE49-F238E27FC236}">
              <a16:creationId xmlns:a16="http://schemas.microsoft.com/office/drawing/2014/main" id="{4B282BBF-0B24-4E29-BB6F-A5FE34C12CF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472" y="4305156"/>
          <a:ext cx="625416" cy="638068"/>
        </a:xfrm>
        <a:prstGeom prst="rect">
          <a:avLst/>
        </a:prstGeom>
      </xdr:spPr>
    </xdr:pic>
    <xdr:clientData/>
  </xdr:twoCellAnchor>
  <xdr:twoCellAnchor editAs="oneCell">
    <xdr:from>
      <xdr:col>0</xdr:col>
      <xdr:colOff>173620</xdr:colOff>
      <xdr:row>27</xdr:row>
      <xdr:rowOff>55942</xdr:rowOff>
    </xdr:from>
    <xdr:to>
      <xdr:col>0</xdr:col>
      <xdr:colOff>906684</xdr:colOff>
      <xdr:row>31</xdr:row>
      <xdr:rowOff>55943</xdr:rowOff>
    </xdr:to>
    <xdr:pic>
      <xdr:nvPicPr>
        <xdr:cNvPr id="8" name="Graphic 7" descr="Employee badge outline">
          <a:hlinkClick xmlns:r="http://schemas.openxmlformats.org/officeDocument/2006/relationships" r:id="rId14"/>
          <a:extLst>
            <a:ext uri="{FF2B5EF4-FFF2-40B4-BE49-F238E27FC236}">
              <a16:creationId xmlns:a16="http://schemas.microsoft.com/office/drawing/2014/main" id="{0F05BB3A-B2EE-26C9-EC89-F332B9A7E5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73620" y="5254904"/>
          <a:ext cx="733064" cy="7330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133428</xdr:colOff>
      <xdr:row>1</xdr:row>
      <xdr:rowOff>2104</xdr:rowOff>
    </xdr:from>
    <xdr:to>
      <xdr:col>0</xdr:col>
      <xdr:colOff>1134993</xdr:colOff>
      <xdr:row>5</xdr:row>
      <xdr:rowOff>51024</xdr:rowOff>
    </xdr:to>
    <xdr:pic>
      <xdr:nvPicPr>
        <xdr:cNvPr id="2" name="Picture 1">
          <a:extLst>
            <a:ext uri="{FF2B5EF4-FFF2-40B4-BE49-F238E27FC236}">
              <a16:creationId xmlns:a16="http://schemas.microsoft.com/office/drawing/2014/main" id="{D9FF6588-E5E8-49B1-80F4-82AC8C75649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735" t="24259" r="23420" b="21583"/>
        <a:stretch>
          <a:fillRect/>
        </a:stretch>
      </xdr:blipFill>
      <xdr:spPr>
        <a:xfrm>
          <a:off x="133428" y="184984"/>
          <a:ext cx="780585" cy="78806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0</xdr:col>
      <xdr:colOff>143773</xdr:colOff>
      <xdr:row>6</xdr:row>
      <xdr:rowOff>86263</xdr:rowOff>
    </xdr:from>
    <xdr:to>
      <xdr:col>0</xdr:col>
      <xdr:colOff>1191451</xdr:colOff>
      <xdr:row>11</xdr:row>
      <xdr:rowOff>14376</xdr:rowOff>
    </xdr:to>
    <xdr:pic>
      <xdr:nvPicPr>
        <xdr:cNvPr id="3" name="Graphic 2" descr="Bar chart outline">
          <a:hlinkClick xmlns:r="http://schemas.openxmlformats.org/officeDocument/2006/relationships" r:id="rId2"/>
          <a:extLst>
            <a:ext uri="{FF2B5EF4-FFF2-40B4-BE49-F238E27FC236}">
              <a16:creationId xmlns:a16="http://schemas.microsoft.com/office/drawing/2014/main" id="{AA24894F-65E0-4F84-BE67-A6BCD52D8CA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3773" y="1183543"/>
          <a:ext cx="826698" cy="842513"/>
        </a:xfrm>
        <a:prstGeom prst="rect">
          <a:avLst/>
        </a:prstGeom>
      </xdr:spPr>
    </xdr:pic>
    <xdr:clientData/>
  </xdr:twoCellAnchor>
  <xdr:twoCellAnchor editAs="oneCell">
    <xdr:from>
      <xdr:col>0</xdr:col>
      <xdr:colOff>79075</xdr:colOff>
      <xdr:row>11</xdr:row>
      <xdr:rowOff>150962</xdr:rowOff>
    </xdr:from>
    <xdr:to>
      <xdr:col>0</xdr:col>
      <xdr:colOff>1214455</xdr:colOff>
      <xdr:row>16</xdr:row>
      <xdr:rowOff>166777</xdr:rowOff>
    </xdr:to>
    <xdr:pic>
      <xdr:nvPicPr>
        <xdr:cNvPr id="4" name="Graphic 3" descr="Table outline">
          <a:hlinkClick xmlns:r="http://schemas.openxmlformats.org/officeDocument/2006/relationships" r:id="rId5"/>
          <a:extLst>
            <a:ext uri="{FF2B5EF4-FFF2-40B4-BE49-F238E27FC236}">
              <a16:creationId xmlns:a16="http://schemas.microsoft.com/office/drawing/2014/main" id="{B06C0DE4-97EF-4644-A77E-81652B2365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075" y="2162642"/>
          <a:ext cx="914400" cy="930215"/>
        </a:xfrm>
        <a:prstGeom prst="rect">
          <a:avLst/>
        </a:prstGeom>
      </xdr:spPr>
    </xdr:pic>
    <xdr:clientData/>
  </xdr:twoCellAnchor>
  <xdr:twoCellAnchor editAs="oneCell">
    <xdr:from>
      <xdr:col>0</xdr:col>
      <xdr:colOff>129395</xdr:colOff>
      <xdr:row>16</xdr:row>
      <xdr:rowOff>165339</xdr:rowOff>
    </xdr:from>
    <xdr:to>
      <xdr:col>0</xdr:col>
      <xdr:colOff>1184262</xdr:colOff>
      <xdr:row>21</xdr:row>
      <xdr:rowOff>100641</xdr:rowOff>
    </xdr:to>
    <xdr:pic>
      <xdr:nvPicPr>
        <xdr:cNvPr id="5" name="Graphic 4" descr="Checkbox Checked outline">
          <a:hlinkClick xmlns:r="http://schemas.openxmlformats.org/officeDocument/2006/relationships" r:id="rId8"/>
          <a:extLst>
            <a:ext uri="{FF2B5EF4-FFF2-40B4-BE49-F238E27FC236}">
              <a16:creationId xmlns:a16="http://schemas.microsoft.com/office/drawing/2014/main" id="{7166A27B-3FD2-4F45-AC9E-69C97C7850F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395" y="3091419"/>
          <a:ext cx="833887" cy="849702"/>
        </a:xfrm>
        <a:prstGeom prst="rect">
          <a:avLst/>
        </a:prstGeom>
      </xdr:spPr>
    </xdr:pic>
    <xdr:clientData/>
  </xdr:twoCellAnchor>
  <xdr:twoCellAnchor editAs="oneCell">
    <xdr:from>
      <xdr:col>0</xdr:col>
      <xdr:colOff>208472</xdr:colOff>
      <xdr:row>22</xdr:row>
      <xdr:rowOff>129396</xdr:rowOff>
    </xdr:from>
    <xdr:to>
      <xdr:col>0</xdr:col>
      <xdr:colOff>833888</xdr:colOff>
      <xdr:row>26</xdr:row>
      <xdr:rowOff>35944</xdr:rowOff>
    </xdr:to>
    <xdr:pic>
      <xdr:nvPicPr>
        <xdr:cNvPr id="6" name="Graphic 5" descr="Email outline">
          <a:hlinkClick xmlns:r="http://schemas.openxmlformats.org/officeDocument/2006/relationships" r:id="rId11"/>
          <a:extLst>
            <a:ext uri="{FF2B5EF4-FFF2-40B4-BE49-F238E27FC236}">
              <a16:creationId xmlns:a16="http://schemas.microsoft.com/office/drawing/2014/main" id="{22C3CD5F-3784-4EB4-9307-A6E71A046CF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472" y="4152756"/>
          <a:ext cx="625416" cy="638068"/>
        </a:xfrm>
        <a:prstGeom prst="rect">
          <a:avLst/>
        </a:prstGeom>
      </xdr:spPr>
    </xdr:pic>
    <xdr:clientData/>
  </xdr:twoCellAnchor>
  <xdr:twoCellAnchor editAs="oneCell">
    <xdr:from>
      <xdr:col>0</xdr:col>
      <xdr:colOff>164757</xdr:colOff>
      <xdr:row>27</xdr:row>
      <xdr:rowOff>20594</xdr:rowOff>
    </xdr:from>
    <xdr:to>
      <xdr:col>0</xdr:col>
      <xdr:colOff>897821</xdr:colOff>
      <xdr:row>31</xdr:row>
      <xdr:rowOff>12253</xdr:rowOff>
    </xdr:to>
    <xdr:pic>
      <xdr:nvPicPr>
        <xdr:cNvPr id="9" name="Graphic 8" descr="Employee badge outline">
          <a:hlinkClick xmlns:r="http://schemas.openxmlformats.org/officeDocument/2006/relationships" r:id="rId14"/>
          <a:extLst>
            <a:ext uri="{FF2B5EF4-FFF2-40B4-BE49-F238E27FC236}">
              <a16:creationId xmlns:a16="http://schemas.microsoft.com/office/drawing/2014/main" id="{5B76E99D-32EA-4F94-A430-FE8805F06D1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64757" y="5035378"/>
          <a:ext cx="733064" cy="7330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270286</xdr:colOff>
      <xdr:row>10</xdr:row>
      <xdr:rowOff>51139</xdr:rowOff>
    </xdr:from>
    <xdr:to>
      <xdr:col>23</xdr:col>
      <xdr:colOff>87821</xdr:colOff>
      <xdr:row>20</xdr:row>
      <xdr:rowOff>122634</xdr:rowOff>
    </xdr:to>
    <xdr:sp macro="" textlink="">
      <xdr:nvSpPr>
        <xdr:cNvPr id="47" name="Rectangle: Rounded Corners 46">
          <a:extLst>
            <a:ext uri="{FF2B5EF4-FFF2-40B4-BE49-F238E27FC236}">
              <a16:creationId xmlns:a16="http://schemas.microsoft.com/office/drawing/2014/main" id="{FDE23C36-F3FC-4580-8C53-E92BC660B511}"/>
            </a:ext>
          </a:extLst>
        </xdr:cNvPr>
        <xdr:cNvSpPr/>
      </xdr:nvSpPr>
      <xdr:spPr>
        <a:xfrm>
          <a:off x="10826526" y="2032339"/>
          <a:ext cx="4084735" cy="1900295"/>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16</xdr:col>
      <xdr:colOff>248409</xdr:colOff>
      <xdr:row>21</xdr:row>
      <xdr:rowOff>162223</xdr:rowOff>
    </xdr:from>
    <xdr:to>
      <xdr:col>23</xdr:col>
      <xdr:colOff>150818</xdr:colOff>
      <xdr:row>33</xdr:row>
      <xdr:rowOff>129673</xdr:rowOff>
    </xdr:to>
    <xdr:sp macro="" textlink="">
      <xdr:nvSpPr>
        <xdr:cNvPr id="28" name="Rectangle: Rounded Corners 27">
          <a:extLst>
            <a:ext uri="{FF2B5EF4-FFF2-40B4-BE49-F238E27FC236}">
              <a16:creationId xmlns:a16="http://schemas.microsoft.com/office/drawing/2014/main" id="{268F1D6C-FDD1-46FE-B956-95D07D1AFF93}"/>
            </a:ext>
          </a:extLst>
        </xdr:cNvPr>
        <xdr:cNvSpPr/>
      </xdr:nvSpPr>
      <xdr:spPr>
        <a:xfrm>
          <a:off x="10941809" y="4061123"/>
          <a:ext cx="4169609" cy="2101050"/>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8</xdr:col>
      <xdr:colOff>485177</xdr:colOff>
      <xdr:row>10</xdr:row>
      <xdr:rowOff>27896</xdr:rowOff>
    </xdr:from>
    <xdr:to>
      <xdr:col>15</xdr:col>
      <xdr:colOff>302712</xdr:colOff>
      <xdr:row>20</xdr:row>
      <xdr:rowOff>99391</xdr:rowOff>
    </xdr:to>
    <xdr:sp macro="" textlink="">
      <xdr:nvSpPr>
        <xdr:cNvPr id="11" name="Rectangle: Rounded Corners 10">
          <a:extLst>
            <a:ext uri="{FF2B5EF4-FFF2-40B4-BE49-F238E27FC236}">
              <a16:creationId xmlns:a16="http://schemas.microsoft.com/office/drawing/2014/main" id="{602976BA-E645-41EF-9BA5-CBF440303AA4}"/>
            </a:ext>
          </a:extLst>
        </xdr:cNvPr>
        <xdr:cNvSpPr/>
      </xdr:nvSpPr>
      <xdr:spPr>
        <a:xfrm>
          <a:off x="6142766" y="2042499"/>
          <a:ext cx="4055508" cy="1950399"/>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8</xdr:col>
      <xdr:colOff>442980</xdr:colOff>
      <xdr:row>21</xdr:row>
      <xdr:rowOff>175306</xdr:rowOff>
    </xdr:from>
    <xdr:to>
      <xdr:col>15</xdr:col>
      <xdr:colOff>345389</xdr:colOff>
      <xdr:row>33</xdr:row>
      <xdr:rowOff>137676</xdr:rowOff>
    </xdr:to>
    <xdr:sp macro="" textlink="">
      <xdr:nvSpPr>
        <xdr:cNvPr id="9" name="Rectangle: Rounded Corners 8">
          <a:extLst>
            <a:ext uri="{FF2B5EF4-FFF2-40B4-BE49-F238E27FC236}">
              <a16:creationId xmlns:a16="http://schemas.microsoft.com/office/drawing/2014/main" id="{6156AB19-8913-4171-BE81-29280730382B}"/>
            </a:ext>
          </a:extLst>
        </xdr:cNvPr>
        <xdr:cNvSpPr/>
      </xdr:nvSpPr>
      <xdr:spPr>
        <a:xfrm>
          <a:off x="6100569" y="4256703"/>
          <a:ext cx="4140382" cy="2217055"/>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1</xdr:col>
      <xdr:colOff>417689</xdr:colOff>
      <xdr:row>10</xdr:row>
      <xdr:rowOff>13172</xdr:rowOff>
    </xdr:from>
    <xdr:to>
      <xdr:col>7</xdr:col>
      <xdr:colOff>442148</xdr:colOff>
      <xdr:row>20</xdr:row>
      <xdr:rowOff>84667</xdr:rowOff>
    </xdr:to>
    <xdr:sp macro="" textlink="">
      <xdr:nvSpPr>
        <xdr:cNvPr id="3" name="Rectangle: Rounded Corners 2">
          <a:extLst>
            <a:ext uri="{FF2B5EF4-FFF2-40B4-BE49-F238E27FC236}">
              <a16:creationId xmlns:a16="http://schemas.microsoft.com/office/drawing/2014/main" id="{771BBA2C-0CEC-48A4-B290-79B80D761EFE}"/>
            </a:ext>
          </a:extLst>
        </xdr:cNvPr>
        <xdr:cNvSpPr/>
      </xdr:nvSpPr>
      <xdr:spPr>
        <a:xfrm>
          <a:off x="1490133" y="1960505"/>
          <a:ext cx="4022608" cy="1858903"/>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1</xdr:col>
      <xdr:colOff>365694</xdr:colOff>
      <xdr:row>3</xdr:row>
      <xdr:rowOff>316989</xdr:rowOff>
    </xdr:from>
    <xdr:to>
      <xdr:col>4</xdr:col>
      <xdr:colOff>298469</xdr:colOff>
      <xdr:row>9</xdr:row>
      <xdr:rowOff>6103</xdr:rowOff>
    </xdr:to>
    <xdr:sp macro="" textlink="">
      <xdr:nvSpPr>
        <xdr:cNvPr id="10" name="Rectangle: Rounded Corners 9">
          <a:extLst>
            <a:ext uri="{FF2B5EF4-FFF2-40B4-BE49-F238E27FC236}">
              <a16:creationId xmlns:a16="http://schemas.microsoft.com/office/drawing/2014/main" id="{121CBE21-E52D-404A-A182-DEF842DAC670}"/>
            </a:ext>
          </a:extLst>
        </xdr:cNvPr>
        <xdr:cNvSpPr/>
      </xdr:nvSpPr>
      <xdr:spPr>
        <a:xfrm>
          <a:off x="1438292" y="871924"/>
          <a:ext cx="2185644" cy="927364"/>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600" b="1">
              <a:solidFill>
                <a:schemeClr val="accent1"/>
              </a:solidFill>
              <a:latin typeface="+mj-lt"/>
              <a:cs typeface="DokChampa" panose="020B0604020202020204" pitchFamily="34" charset="-34"/>
            </a:rPr>
            <a:t>Total Loan Amount  Approved</a:t>
          </a:r>
        </a:p>
        <a:p>
          <a:pPr algn="l"/>
          <a:endParaRPr lang="es-MX" sz="1100">
            <a:solidFill>
              <a:sysClr val="windowText" lastClr="000000"/>
            </a:solidFill>
          </a:endParaRPr>
        </a:p>
        <a:p>
          <a:pPr algn="l"/>
          <a:endParaRPr lang="es-MX" sz="1100">
            <a:solidFill>
              <a:sysClr val="windowText" lastClr="000000"/>
            </a:solidFill>
          </a:endParaRPr>
        </a:p>
      </xdr:txBody>
    </xdr:sp>
    <xdr:clientData/>
  </xdr:twoCellAnchor>
  <xdr:twoCellAnchor editAs="oneCell">
    <xdr:from>
      <xdr:col>0</xdr:col>
      <xdr:colOff>133428</xdr:colOff>
      <xdr:row>1</xdr:row>
      <xdr:rowOff>2104</xdr:rowOff>
    </xdr:from>
    <xdr:to>
      <xdr:col>0</xdr:col>
      <xdr:colOff>914013</xdr:colOff>
      <xdr:row>4</xdr:row>
      <xdr:rowOff>84330</xdr:rowOff>
    </xdr:to>
    <xdr:pic>
      <xdr:nvPicPr>
        <xdr:cNvPr id="14" name="Picture 13">
          <a:extLst>
            <a:ext uri="{FF2B5EF4-FFF2-40B4-BE49-F238E27FC236}">
              <a16:creationId xmlns:a16="http://schemas.microsoft.com/office/drawing/2014/main" id="{640E3A08-1A70-117A-99BD-0802ED87CD3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735" t="24259" r="23420" b="21583"/>
        <a:stretch>
          <a:fillRect/>
        </a:stretch>
      </xdr:blipFill>
      <xdr:spPr>
        <a:xfrm>
          <a:off x="133428" y="181821"/>
          <a:ext cx="780585" cy="775408"/>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0</xdr:col>
      <xdr:colOff>143773</xdr:colOff>
      <xdr:row>6</xdr:row>
      <xdr:rowOff>86263</xdr:rowOff>
    </xdr:from>
    <xdr:to>
      <xdr:col>0</xdr:col>
      <xdr:colOff>970471</xdr:colOff>
      <xdr:row>11</xdr:row>
      <xdr:rowOff>14375</xdr:rowOff>
    </xdr:to>
    <xdr:pic>
      <xdr:nvPicPr>
        <xdr:cNvPr id="16" name="Graphic 15" descr="Bar chart outline">
          <a:hlinkClick xmlns:r="http://schemas.openxmlformats.org/officeDocument/2006/relationships" r:id="rId2"/>
          <a:extLst>
            <a:ext uri="{FF2B5EF4-FFF2-40B4-BE49-F238E27FC236}">
              <a16:creationId xmlns:a16="http://schemas.microsoft.com/office/drawing/2014/main" id="{613DDF35-EC8A-8ED8-FABA-EB40A31A5B9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3773" y="1164565"/>
          <a:ext cx="826698" cy="826698"/>
        </a:xfrm>
        <a:prstGeom prst="rect">
          <a:avLst/>
        </a:prstGeom>
      </xdr:spPr>
    </xdr:pic>
    <xdr:clientData/>
  </xdr:twoCellAnchor>
  <xdr:twoCellAnchor editAs="oneCell">
    <xdr:from>
      <xdr:col>0</xdr:col>
      <xdr:colOff>79075</xdr:colOff>
      <xdr:row>11</xdr:row>
      <xdr:rowOff>150962</xdr:rowOff>
    </xdr:from>
    <xdr:to>
      <xdr:col>0</xdr:col>
      <xdr:colOff>993475</xdr:colOff>
      <xdr:row>16</xdr:row>
      <xdr:rowOff>166778</xdr:rowOff>
    </xdr:to>
    <xdr:pic>
      <xdr:nvPicPr>
        <xdr:cNvPr id="20" name="Graphic 19" descr="Table outline">
          <a:hlinkClick xmlns:r="http://schemas.openxmlformats.org/officeDocument/2006/relationships" r:id="rId5"/>
          <a:extLst>
            <a:ext uri="{FF2B5EF4-FFF2-40B4-BE49-F238E27FC236}">
              <a16:creationId xmlns:a16="http://schemas.microsoft.com/office/drawing/2014/main" id="{B165C82C-C269-29DD-2292-637FB6D361B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075" y="2127849"/>
          <a:ext cx="914400" cy="914400"/>
        </a:xfrm>
        <a:prstGeom prst="rect">
          <a:avLst/>
        </a:prstGeom>
      </xdr:spPr>
    </xdr:pic>
    <xdr:clientData/>
  </xdr:twoCellAnchor>
  <xdr:twoCellAnchor editAs="oneCell">
    <xdr:from>
      <xdr:col>0</xdr:col>
      <xdr:colOff>129395</xdr:colOff>
      <xdr:row>16</xdr:row>
      <xdr:rowOff>165339</xdr:rowOff>
    </xdr:from>
    <xdr:to>
      <xdr:col>0</xdr:col>
      <xdr:colOff>963282</xdr:colOff>
      <xdr:row>21</xdr:row>
      <xdr:rowOff>100641</xdr:rowOff>
    </xdr:to>
    <xdr:pic>
      <xdr:nvPicPr>
        <xdr:cNvPr id="22" name="Graphic 21" descr="Checkbox Checked outline">
          <a:hlinkClick xmlns:r="http://schemas.openxmlformats.org/officeDocument/2006/relationships" r:id="rId8"/>
          <a:extLst>
            <a:ext uri="{FF2B5EF4-FFF2-40B4-BE49-F238E27FC236}">
              <a16:creationId xmlns:a16="http://schemas.microsoft.com/office/drawing/2014/main" id="{4BED2EF5-8637-D0D5-5AE9-0D935BD1E83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395" y="3040811"/>
          <a:ext cx="833887" cy="833887"/>
        </a:xfrm>
        <a:prstGeom prst="rect">
          <a:avLst/>
        </a:prstGeom>
      </xdr:spPr>
    </xdr:pic>
    <xdr:clientData/>
  </xdr:twoCellAnchor>
  <xdr:twoCellAnchor editAs="oneCell">
    <xdr:from>
      <xdr:col>0</xdr:col>
      <xdr:colOff>208472</xdr:colOff>
      <xdr:row>22</xdr:row>
      <xdr:rowOff>129396</xdr:rowOff>
    </xdr:from>
    <xdr:to>
      <xdr:col>0</xdr:col>
      <xdr:colOff>833888</xdr:colOff>
      <xdr:row>26</xdr:row>
      <xdr:rowOff>35944</xdr:rowOff>
    </xdr:to>
    <xdr:pic>
      <xdr:nvPicPr>
        <xdr:cNvPr id="24" name="Graphic 23" descr="Email outline">
          <a:hlinkClick xmlns:r="http://schemas.openxmlformats.org/officeDocument/2006/relationships" r:id="rId11"/>
          <a:extLst>
            <a:ext uri="{FF2B5EF4-FFF2-40B4-BE49-F238E27FC236}">
              <a16:creationId xmlns:a16="http://schemas.microsoft.com/office/drawing/2014/main" id="{D3E65F7E-FD56-2802-5DDC-FB60A678FFA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472" y="4083170"/>
          <a:ext cx="625416" cy="625416"/>
        </a:xfrm>
        <a:prstGeom prst="rect">
          <a:avLst/>
        </a:prstGeom>
      </xdr:spPr>
    </xdr:pic>
    <xdr:clientData/>
  </xdr:twoCellAnchor>
  <xdr:twoCellAnchor>
    <xdr:from>
      <xdr:col>1</xdr:col>
      <xdr:colOff>256854</xdr:colOff>
      <xdr:row>0</xdr:row>
      <xdr:rowOff>128425</xdr:rowOff>
    </xdr:from>
    <xdr:to>
      <xdr:col>21</xdr:col>
      <xdr:colOff>364142</xdr:colOff>
      <xdr:row>3</xdr:row>
      <xdr:rowOff>169332</xdr:rowOff>
    </xdr:to>
    <xdr:sp macro="" textlink="">
      <xdr:nvSpPr>
        <xdr:cNvPr id="25" name="Rectangle: Rounded Corners 24">
          <a:extLst>
            <a:ext uri="{FF2B5EF4-FFF2-40B4-BE49-F238E27FC236}">
              <a16:creationId xmlns:a16="http://schemas.microsoft.com/office/drawing/2014/main" id="{A3A0DA21-49E9-11FC-CC51-43EB3F64EAA2}"/>
            </a:ext>
          </a:extLst>
        </xdr:cNvPr>
        <xdr:cNvSpPr/>
      </xdr:nvSpPr>
      <xdr:spPr>
        <a:xfrm>
          <a:off x="1329049" y="128425"/>
          <a:ext cx="12582509" cy="593863"/>
        </a:xfrm>
        <a:prstGeom prst="roundRect">
          <a:avLst>
            <a:gd name="adj" fmla="val 2666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2000" b="1">
              <a:solidFill>
                <a:schemeClr val="accent1"/>
              </a:solidFill>
              <a:latin typeface="+mj-lt"/>
              <a:cs typeface="DokChampa" panose="020B0502040204020203" pitchFamily="34" charset="-34"/>
            </a:rPr>
            <a:t>Smart Credit: Strategic Lending Insights and Rule based credit decision model</a:t>
          </a:r>
        </a:p>
      </xdr:txBody>
    </xdr:sp>
    <xdr:clientData/>
  </xdr:twoCellAnchor>
  <xdr:twoCellAnchor>
    <xdr:from>
      <xdr:col>2</xdr:col>
      <xdr:colOff>133766</xdr:colOff>
      <xdr:row>7</xdr:row>
      <xdr:rowOff>13447</xdr:rowOff>
    </xdr:from>
    <xdr:to>
      <xdr:col>3</xdr:col>
      <xdr:colOff>605549</xdr:colOff>
      <xdr:row>8</xdr:row>
      <xdr:rowOff>111103</xdr:rowOff>
    </xdr:to>
    <xdr:sp macro="" textlink="$C$6">
      <xdr:nvSpPr>
        <xdr:cNvPr id="29" name="TextBox 28">
          <a:extLst>
            <a:ext uri="{FF2B5EF4-FFF2-40B4-BE49-F238E27FC236}">
              <a16:creationId xmlns:a16="http://schemas.microsoft.com/office/drawing/2014/main" id="{E91FE57C-80D9-0632-AFF3-AEE0B5C3CB04}"/>
            </a:ext>
          </a:extLst>
        </xdr:cNvPr>
        <xdr:cNvSpPr txBox="1"/>
      </xdr:nvSpPr>
      <xdr:spPr>
        <a:xfrm>
          <a:off x="1815136" y="1442197"/>
          <a:ext cx="1507109" cy="279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65AF190-2B0F-41CA-A46A-F66795FC120D}" type="TxLink">
            <a:rPr lang="en-US" sz="1400" b="0" i="0" u="none" strike="noStrike">
              <a:solidFill>
                <a:srgbClr val="000000"/>
              </a:solidFill>
              <a:latin typeface="Aptos Narrow"/>
            </a:rPr>
            <a:pPr/>
            <a:t>$123,648,008.00</a:t>
          </a:fld>
          <a:endParaRPr lang="es-MX" sz="1400"/>
        </a:p>
      </xdr:txBody>
    </xdr:sp>
    <xdr:clientData/>
  </xdr:twoCellAnchor>
  <xdr:twoCellAnchor>
    <xdr:from>
      <xdr:col>4</xdr:col>
      <xdr:colOff>495197</xdr:colOff>
      <xdr:row>3</xdr:row>
      <xdr:rowOff>327789</xdr:rowOff>
    </xdr:from>
    <xdr:to>
      <xdr:col>8</xdr:col>
      <xdr:colOff>143506</xdr:colOff>
      <xdr:row>9</xdr:row>
      <xdr:rowOff>22635</xdr:rowOff>
    </xdr:to>
    <xdr:sp macro="" textlink="">
      <xdr:nvSpPr>
        <xdr:cNvPr id="30" name="Rectangle: Rounded Corners 29">
          <a:extLst>
            <a:ext uri="{FF2B5EF4-FFF2-40B4-BE49-F238E27FC236}">
              <a16:creationId xmlns:a16="http://schemas.microsoft.com/office/drawing/2014/main" id="{2CCBBE3F-B3CF-4CA7-B7D7-00D863552DD6}"/>
            </a:ext>
          </a:extLst>
        </xdr:cNvPr>
        <xdr:cNvSpPr/>
      </xdr:nvSpPr>
      <xdr:spPr>
        <a:xfrm>
          <a:off x="3817041" y="875477"/>
          <a:ext cx="2100996" cy="921189"/>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600" b="1">
              <a:solidFill>
                <a:schemeClr val="accent1"/>
              </a:solidFill>
              <a:latin typeface="+mj-lt"/>
              <a:cs typeface="DokChampa" panose="020B0604020202020204" pitchFamily="34" charset="-34"/>
            </a:rPr>
            <a:t>Approval</a:t>
          </a:r>
          <a:r>
            <a:rPr lang="es-MX" sz="1600" b="1" baseline="0">
              <a:solidFill>
                <a:schemeClr val="accent1"/>
              </a:solidFill>
              <a:latin typeface="+mj-lt"/>
              <a:cs typeface="DokChampa" panose="020B0604020202020204" pitchFamily="34" charset="-34"/>
            </a:rPr>
            <a:t> Rate</a:t>
          </a:r>
          <a:endParaRPr lang="es-MX" sz="1600" b="1">
            <a:solidFill>
              <a:schemeClr val="accent1"/>
            </a:solidFill>
            <a:latin typeface="+mj-lt"/>
            <a:cs typeface="DokChampa" panose="020B0604020202020204" pitchFamily="34" charset="-34"/>
          </a:endParaRPr>
        </a:p>
      </xdr:txBody>
    </xdr:sp>
    <xdr:clientData/>
  </xdr:twoCellAnchor>
  <xdr:twoCellAnchor>
    <xdr:from>
      <xdr:col>5</xdr:col>
      <xdr:colOff>534625</xdr:colOff>
      <xdr:row>6</xdr:row>
      <xdr:rowOff>134336</xdr:rowOff>
    </xdr:from>
    <xdr:to>
      <xdr:col>7</xdr:col>
      <xdr:colOff>522718</xdr:colOff>
      <xdr:row>8</xdr:row>
      <xdr:rowOff>55696</xdr:rowOff>
    </xdr:to>
    <xdr:sp macro="" textlink="$G$7">
      <xdr:nvSpPr>
        <xdr:cNvPr id="31" name="TextBox 30">
          <a:extLst>
            <a:ext uri="{FF2B5EF4-FFF2-40B4-BE49-F238E27FC236}">
              <a16:creationId xmlns:a16="http://schemas.microsoft.com/office/drawing/2014/main" id="{0EA6B2C8-8C2E-F298-E439-454028A65512}"/>
            </a:ext>
          </a:extLst>
        </xdr:cNvPr>
        <xdr:cNvSpPr txBox="1"/>
      </xdr:nvSpPr>
      <xdr:spPr>
        <a:xfrm>
          <a:off x="4484325" y="1366236"/>
          <a:ext cx="1219993" cy="2769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C725447-A258-43B0-9D19-DE953D4E7F58}" type="TxLink">
            <a:rPr lang="en-US" sz="1600" b="0" i="0" u="none" strike="noStrike" cap="none" spc="0">
              <a:ln w="0"/>
              <a:solidFill>
                <a:schemeClr val="tx1"/>
              </a:solidFill>
              <a:effectLst>
                <a:outerShdw blurRad="38100" dist="19050" dir="2700000" algn="tl" rotWithShape="0">
                  <a:schemeClr val="dk1">
                    <a:alpha val="40000"/>
                  </a:schemeClr>
                </a:outerShdw>
              </a:effectLst>
              <a:latin typeface="Aptos Narrow"/>
            </a:rPr>
            <a:pPr/>
            <a:t>15.33%</a:t>
          </a:fld>
          <a:endParaRPr lang="es-MX" sz="16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8</xdr:col>
      <xdr:colOff>465306</xdr:colOff>
      <xdr:row>4</xdr:row>
      <xdr:rowOff>18089</xdr:rowOff>
    </xdr:from>
    <xdr:to>
      <xdr:col>12</xdr:col>
      <xdr:colOff>79601</xdr:colOff>
      <xdr:row>9</xdr:row>
      <xdr:rowOff>65127</xdr:rowOff>
    </xdr:to>
    <xdr:sp macro="" textlink="">
      <xdr:nvSpPr>
        <xdr:cNvPr id="32" name="Rectangle: Rounded Corners 31">
          <a:extLst>
            <a:ext uri="{FF2B5EF4-FFF2-40B4-BE49-F238E27FC236}">
              <a16:creationId xmlns:a16="http://schemas.microsoft.com/office/drawing/2014/main" id="{116B202F-6F3D-4A15-A0DB-FB42609C39A7}"/>
            </a:ext>
          </a:extLst>
        </xdr:cNvPr>
        <xdr:cNvSpPr/>
      </xdr:nvSpPr>
      <xdr:spPr>
        <a:xfrm>
          <a:off x="6121691" y="916858"/>
          <a:ext cx="2037064" cy="975115"/>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600" b="1">
              <a:solidFill>
                <a:schemeClr val="accent1"/>
              </a:solidFill>
              <a:latin typeface="+mj-lt"/>
              <a:cs typeface="DokChampa" panose="020B0604020202020204" pitchFamily="34" charset="-34"/>
            </a:rPr>
            <a:t>Total</a:t>
          </a:r>
          <a:r>
            <a:rPr lang="es-MX" sz="1600" b="1" baseline="0">
              <a:solidFill>
                <a:schemeClr val="accent1"/>
              </a:solidFill>
              <a:latin typeface="+mj-lt"/>
              <a:cs typeface="DokChampa" panose="020B0604020202020204" pitchFamily="34" charset="-34"/>
            </a:rPr>
            <a:t> Aplications</a:t>
          </a:r>
          <a:endParaRPr lang="es-MX" sz="1600" b="1">
            <a:solidFill>
              <a:schemeClr val="accent1"/>
            </a:solidFill>
            <a:latin typeface="+mj-lt"/>
            <a:cs typeface="DokChampa" panose="020B0604020202020204" pitchFamily="34" charset="-34"/>
          </a:endParaRPr>
        </a:p>
      </xdr:txBody>
    </xdr:sp>
    <xdr:clientData/>
  </xdr:twoCellAnchor>
  <xdr:twoCellAnchor>
    <xdr:from>
      <xdr:col>9</xdr:col>
      <xdr:colOff>598598</xdr:colOff>
      <xdr:row>6</xdr:row>
      <xdr:rowOff>118648</xdr:rowOff>
    </xdr:from>
    <xdr:to>
      <xdr:col>11</xdr:col>
      <xdr:colOff>292569</xdr:colOff>
      <xdr:row>8</xdr:row>
      <xdr:rowOff>27054</xdr:rowOff>
    </xdr:to>
    <xdr:sp macro="" textlink="$H$7">
      <xdr:nvSpPr>
        <xdr:cNvPr id="33" name="TextBox 32">
          <a:extLst>
            <a:ext uri="{FF2B5EF4-FFF2-40B4-BE49-F238E27FC236}">
              <a16:creationId xmlns:a16="http://schemas.microsoft.com/office/drawing/2014/main" id="{E70F3F38-5E2C-12C4-51D5-0D68F591A3D0}"/>
            </a:ext>
          </a:extLst>
        </xdr:cNvPr>
        <xdr:cNvSpPr txBox="1"/>
      </xdr:nvSpPr>
      <xdr:spPr>
        <a:xfrm>
          <a:off x="7012098" y="1350548"/>
          <a:ext cx="913171" cy="264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2794ED-BA22-4848-B551-43D24BAF36A4}" type="TxLink">
            <a:rPr lang="en-US" sz="1800" b="0" i="0" u="none" strike="noStrike">
              <a:solidFill>
                <a:srgbClr val="000000"/>
              </a:solidFill>
              <a:latin typeface="Aptos Narrow"/>
            </a:rPr>
            <a:pPr/>
            <a:t>600</a:t>
          </a:fld>
          <a:endParaRPr lang="es-MX" sz="1800"/>
        </a:p>
      </xdr:txBody>
    </xdr:sp>
    <xdr:clientData/>
  </xdr:twoCellAnchor>
  <xdr:twoCellAnchor>
    <xdr:from>
      <xdr:col>12</xdr:col>
      <xdr:colOff>409224</xdr:colOff>
      <xdr:row>4</xdr:row>
      <xdr:rowOff>8324</xdr:rowOff>
    </xdr:from>
    <xdr:to>
      <xdr:col>16</xdr:col>
      <xdr:colOff>32927</xdr:colOff>
      <xdr:row>9</xdr:row>
      <xdr:rowOff>55360</xdr:rowOff>
    </xdr:to>
    <xdr:sp macro="" textlink="">
      <xdr:nvSpPr>
        <xdr:cNvPr id="34" name="Rectangle: Rounded Corners 33">
          <a:extLst>
            <a:ext uri="{FF2B5EF4-FFF2-40B4-BE49-F238E27FC236}">
              <a16:creationId xmlns:a16="http://schemas.microsoft.com/office/drawing/2014/main" id="{B19C4D81-E807-4712-BAAA-A559E1FE18F9}"/>
            </a:ext>
          </a:extLst>
        </xdr:cNvPr>
        <xdr:cNvSpPr/>
      </xdr:nvSpPr>
      <xdr:spPr>
        <a:xfrm>
          <a:off x="8488378" y="907093"/>
          <a:ext cx="2046472" cy="975113"/>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600" b="1">
              <a:solidFill>
                <a:schemeClr val="accent1"/>
              </a:solidFill>
              <a:latin typeface="+mj-lt"/>
              <a:cs typeface="DokChampa" panose="020B0604020202020204" pitchFamily="34" charset="-34"/>
            </a:rPr>
            <a:t>AVG of DTI</a:t>
          </a:r>
          <a:r>
            <a:rPr lang="es-MX" sz="1600" b="1" baseline="0">
              <a:solidFill>
                <a:schemeClr val="accent1"/>
              </a:solidFill>
              <a:latin typeface="+mj-lt"/>
              <a:cs typeface="DokChampa" panose="020B0604020202020204" pitchFamily="34" charset="-34"/>
            </a:rPr>
            <a:t> Ratio of Approved Loan</a:t>
          </a:r>
          <a:endParaRPr lang="es-MX" sz="1600" b="1">
            <a:solidFill>
              <a:schemeClr val="accent1"/>
            </a:solidFill>
            <a:latin typeface="+mj-lt"/>
            <a:cs typeface="DokChampa" panose="020B0604020202020204" pitchFamily="34" charset="-34"/>
          </a:endParaRPr>
        </a:p>
      </xdr:txBody>
    </xdr:sp>
    <xdr:clientData/>
  </xdr:twoCellAnchor>
  <xdr:twoCellAnchor>
    <xdr:from>
      <xdr:col>13</xdr:col>
      <xdr:colOff>374324</xdr:colOff>
      <xdr:row>7</xdr:row>
      <xdr:rowOff>28698</xdr:rowOff>
    </xdr:from>
    <xdr:to>
      <xdr:col>15</xdr:col>
      <xdr:colOff>378748</xdr:colOff>
      <xdr:row>8</xdr:row>
      <xdr:rowOff>172251</xdr:rowOff>
    </xdr:to>
    <xdr:sp macro="" textlink="$O$8">
      <xdr:nvSpPr>
        <xdr:cNvPr id="35" name="TextBox 34">
          <a:extLst>
            <a:ext uri="{FF2B5EF4-FFF2-40B4-BE49-F238E27FC236}">
              <a16:creationId xmlns:a16="http://schemas.microsoft.com/office/drawing/2014/main" id="{AB37898C-E3DE-C8C8-19A5-19674B9E237C}"/>
            </a:ext>
          </a:extLst>
        </xdr:cNvPr>
        <xdr:cNvSpPr txBox="1"/>
      </xdr:nvSpPr>
      <xdr:spPr>
        <a:xfrm>
          <a:off x="9226224" y="1438398"/>
          <a:ext cx="1236324" cy="32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6ED03D8-3B1F-41AF-AD4B-3B0E09A5FCCD}" type="TxLink">
            <a:rPr lang="en-US" sz="1600" b="0" i="0" u="none" strike="noStrike">
              <a:solidFill>
                <a:srgbClr val="000000"/>
              </a:solidFill>
              <a:latin typeface="Aptos Narrow"/>
            </a:rPr>
            <a:pPr/>
            <a:t>29.05%</a:t>
          </a:fld>
          <a:endParaRPr lang="es-MX" sz="1600"/>
        </a:p>
      </xdr:txBody>
    </xdr:sp>
    <xdr:clientData/>
  </xdr:twoCellAnchor>
  <xdr:twoCellAnchor>
    <xdr:from>
      <xdr:col>9</xdr:col>
      <xdr:colOff>72932</xdr:colOff>
      <xdr:row>10</xdr:row>
      <xdr:rowOff>73068</xdr:rowOff>
    </xdr:from>
    <xdr:to>
      <xdr:col>15</xdr:col>
      <xdr:colOff>75260</xdr:colOff>
      <xdr:row>20</xdr:row>
      <xdr:rowOff>28221</xdr:rowOff>
    </xdr:to>
    <xdr:graphicFrame macro="">
      <xdr:nvGraphicFramePr>
        <xdr:cNvPr id="36" name="Chart 35">
          <a:extLst>
            <a:ext uri="{FF2B5EF4-FFF2-40B4-BE49-F238E27FC236}">
              <a16:creationId xmlns:a16="http://schemas.microsoft.com/office/drawing/2014/main" id="{AB85E4C4-2938-47A8-9030-3F46CCF348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432742</xdr:colOff>
      <xdr:row>12</xdr:row>
      <xdr:rowOff>137834</xdr:rowOff>
    </xdr:from>
    <xdr:to>
      <xdr:col>7</xdr:col>
      <xdr:colOff>423333</xdr:colOff>
      <xdr:row>19</xdr:row>
      <xdr:rowOff>86462</xdr:rowOff>
    </xdr:to>
    <xdr:graphicFrame macro="">
      <xdr:nvGraphicFramePr>
        <xdr:cNvPr id="39" name="Chart 38">
          <a:extLst>
            <a:ext uri="{FF2B5EF4-FFF2-40B4-BE49-F238E27FC236}">
              <a16:creationId xmlns:a16="http://schemas.microsoft.com/office/drawing/2014/main" id="{0C4C936C-65FA-430E-B501-0C8911EBF3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627890</xdr:colOff>
      <xdr:row>10</xdr:row>
      <xdr:rowOff>25025</xdr:rowOff>
    </xdr:from>
    <xdr:to>
      <xdr:col>6</xdr:col>
      <xdr:colOff>204453</xdr:colOff>
      <xdr:row>12</xdr:row>
      <xdr:rowOff>67834</xdr:rowOff>
    </xdr:to>
    <xdr:sp macro="" textlink="">
      <xdr:nvSpPr>
        <xdr:cNvPr id="40" name="TextBox 39">
          <a:extLst>
            <a:ext uri="{FF2B5EF4-FFF2-40B4-BE49-F238E27FC236}">
              <a16:creationId xmlns:a16="http://schemas.microsoft.com/office/drawing/2014/main" id="{2CD4ED6F-D06E-2516-3351-62F6625FE54A}"/>
            </a:ext>
          </a:extLst>
        </xdr:cNvPr>
        <xdr:cNvSpPr txBox="1"/>
      </xdr:nvSpPr>
      <xdr:spPr>
        <a:xfrm>
          <a:off x="2308465" y="2039628"/>
          <a:ext cx="2342728" cy="4185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600">
              <a:solidFill>
                <a:schemeClr val="accent1"/>
              </a:solidFill>
              <a:latin typeface="+mj-lt"/>
            </a:rPr>
            <a:t>Avg DTI Ratio  by Decision</a:t>
          </a:r>
        </a:p>
      </xdr:txBody>
    </xdr:sp>
    <xdr:clientData/>
  </xdr:twoCellAnchor>
  <xdr:twoCellAnchor>
    <xdr:from>
      <xdr:col>1</xdr:col>
      <xdr:colOff>340547</xdr:colOff>
      <xdr:row>21</xdr:row>
      <xdr:rowOff>141111</xdr:rowOff>
    </xdr:from>
    <xdr:to>
      <xdr:col>7</xdr:col>
      <xdr:colOff>507999</xdr:colOff>
      <xdr:row>33</xdr:row>
      <xdr:rowOff>103481</xdr:rowOff>
    </xdr:to>
    <xdr:sp macro="" textlink="">
      <xdr:nvSpPr>
        <xdr:cNvPr id="2" name="Rectangle: Rounded Corners 1">
          <a:extLst>
            <a:ext uri="{FF2B5EF4-FFF2-40B4-BE49-F238E27FC236}">
              <a16:creationId xmlns:a16="http://schemas.microsoft.com/office/drawing/2014/main" id="{D26FA411-6C35-469B-91A5-A6FE1FD512C7}"/>
            </a:ext>
          </a:extLst>
        </xdr:cNvPr>
        <xdr:cNvSpPr/>
      </xdr:nvSpPr>
      <xdr:spPr>
        <a:xfrm>
          <a:off x="1412513" y="4093179"/>
          <a:ext cx="4145350" cy="2132133"/>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2</xdr:col>
      <xdr:colOff>569023</xdr:colOff>
      <xdr:row>21</xdr:row>
      <xdr:rowOff>160830</xdr:rowOff>
    </xdr:from>
    <xdr:to>
      <xdr:col>6</xdr:col>
      <xdr:colOff>137341</xdr:colOff>
      <xdr:row>24</xdr:row>
      <xdr:rowOff>15746</xdr:rowOff>
    </xdr:to>
    <xdr:sp macro="" textlink="">
      <xdr:nvSpPr>
        <xdr:cNvPr id="44" name="TextBox 43">
          <a:extLst>
            <a:ext uri="{FF2B5EF4-FFF2-40B4-BE49-F238E27FC236}">
              <a16:creationId xmlns:a16="http://schemas.microsoft.com/office/drawing/2014/main" id="{C78B24F7-9E0F-4029-8638-C983890DC804}"/>
            </a:ext>
          </a:extLst>
        </xdr:cNvPr>
        <xdr:cNvSpPr txBox="1"/>
      </xdr:nvSpPr>
      <xdr:spPr>
        <a:xfrm>
          <a:off x="2253444" y="4238198"/>
          <a:ext cx="2362318" cy="416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600" b="0" i="0" baseline="0">
              <a:solidFill>
                <a:schemeClr val="accent1"/>
              </a:solidFill>
              <a:effectLst/>
              <a:latin typeface="+mj-lt"/>
              <a:ea typeface="+mn-ea"/>
              <a:cs typeface="+mn-cs"/>
            </a:rPr>
            <a:t>Credit_Score by rule flag</a:t>
          </a:r>
          <a:endParaRPr lang="es-MX" sz="2400">
            <a:solidFill>
              <a:schemeClr val="accent1"/>
            </a:solidFill>
            <a:effectLst/>
            <a:latin typeface="+mj-lt"/>
          </a:endParaRPr>
        </a:p>
      </xdr:txBody>
    </xdr:sp>
    <xdr:clientData/>
  </xdr:twoCellAnchor>
  <xdr:twoCellAnchor>
    <xdr:from>
      <xdr:col>8</xdr:col>
      <xdr:colOff>417533</xdr:colOff>
      <xdr:row>23</xdr:row>
      <xdr:rowOff>83508</xdr:rowOff>
    </xdr:from>
    <xdr:to>
      <xdr:col>15</xdr:col>
      <xdr:colOff>375779</xdr:colOff>
      <xdr:row>33</xdr:row>
      <xdr:rowOff>114823</xdr:rowOff>
    </xdr:to>
    <xdr:graphicFrame macro="">
      <xdr:nvGraphicFramePr>
        <xdr:cNvPr id="13" name="Chart 12">
          <a:extLst>
            <a:ext uri="{FF2B5EF4-FFF2-40B4-BE49-F238E27FC236}">
              <a16:creationId xmlns:a16="http://schemas.microsoft.com/office/drawing/2014/main" id="{9C39B612-BCB3-4606-841F-82BB1402F3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187892</xdr:colOff>
      <xdr:row>21</xdr:row>
      <xdr:rowOff>159392</xdr:rowOff>
    </xdr:from>
    <xdr:to>
      <xdr:col>15</xdr:col>
      <xdr:colOff>52192</xdr:colOff>
      <xdr:row>23</xdr:row>
      <xdr:rowOff>159392</xdr:rowOff>
    </xdr:to>
    <xdr:sp macro="" textlink="">
      <xdr:nvSpPr>
        <xdr:cNvPr id="15" name="TextBox 14">
          <a:extLst>
            <a:ext uri="{FF2B5EF4-FFF2-40B4-BE49-F238E27FC236}">
              <a16:creationId xmlns:a16="http://schemas.microsoft.com/office/drawing/2014/main" id="{9E4B8DD0-1F97-A5B4-CF1B-1759C58E1A2E}"/>
            </a:ext>
          </a:extLst>
        </xdr:cNvPr>
        <xdr:cNvSpPr txBox="1"/>
      </xdr:nvSpPr>
      <xdr:spPr>
        <a:xfrm>
          <a:off x="7056330" y="4240789"/>
          <a:ext cx="2891424" cy="375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0" i="0" baseline="0">
              <a:solidFill>
                <a:schemeClr val="accent1"/>
              </a:solidFill>
              <a:effectLst/>
              <a:latin typeface="+mn-lt"/>
              <a:ea typeface="+mn-ea"/>
              <a:cs typeface="+mn-cs"/>
            </a:rPr>
            <a:t>DTI Ratio and Credit Score</a:t>
          </a:r>
          <a:endParaRPr lang="es-MX" sz="1600">
            <a:solidFill>
              <a:schemeClr val="accent1"/>
            </a:solidFill>
            <a:effectLst/>
          </a:endParaRPr>
        </a:p>
        <a:p>
          <a:endParaRPr lang="es-MX" sz="1100">
            <a:solidFill>
              <a:schemeClr val="accent1"/>
            </a:solidFill>
          </a:endParaRPr>
        </a:p>
      </xdr:txBody>
    </xdr:sp>
    <xdr:clientData/>
  </xdr:twoCellAnchor>
  <xdr:twoCellAnchor>
    <xdr:from>
      <xdr:col>15</xdr:col>
      <xdr:colOff>571500</xdr:colOff>
      <xdr:row>23</xdr:row>
      <xdr:rowOff>76200</xdr:rowOff>
    </xdr:from>
    <xdr:to>
      <xdr:col>24</xdr:col>
      <xdr:colOff>0</xdr:colOff>
      <xdr:row>34</xdr:row>
      <xdr:rowOff>118109</xdr:rowOff>
    </xdr:to>
    <xdr:graphicFrame macro="">
      <xdr:nvGraphicFramePr>
        <xdr:cNvPr id="17" name="Chart 16">
          <a:extLst>
            <a:ext uri="{FF2B5EF4-FFF2-40B4-BE49-F238E27FC236}">
              <a16:creationId xmlns:a16="http://schemas.microsoft.com/office/drawing/2014/main" id="{13F2D155-B561-4F49-836E-B0C0F33865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18</xdr:col>
      <xdr:colOff>100210</xdr:colOff>
      <xdr:row>22</xdr:row>
      <xdr:rowOff>19796</xdr:rowOff>
    </xdr:from>
    <xdr:to>
      <xdr:col>22</xdr:col>
      <xdr:colOff>569936</xdr:colOff>
      <xdr:row>24</xdr:row>
      <xdr:rowOff>19796</xdr:rowOff>
    </xdr:to>
    <xdr:sp macro="" textlink="">
      <xdr:nvSpPr>
        <xdr:cNvPr id="19" name="TextBox 18">
          <a:extLst>
            <a:ext uri="{FF2B5EF4-FFF2-40B4-BE49-F238E27FC236}">
              <a16:creationId xmlns:a16="http://schemas.microsoft.com/office/drawing/2014/main" id="{12A8AB67-1EAB-462C-8D51-AAFB0015E756}"/>
            </a:ext>
          </a:extLst>
        </xdr:cNvPr>
        <xdr:cNvSpPr txBox="1"/>
      </xdr:nvSpPr>
      <xdr:spPr>
        <a:xfrm>
          <a:off x="11875650" y="4195556"/>
          <a:ext cx="2908126"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0" i="0" baseline="0">
              <a:solidFill>
                <a:schemeClr val="accent1"/>
              </a:solidFill>
              <a:effectLst/>
              <a:latin typeface="+mn-lt"/>
              <a:ea typeface="+mn-ea"/>
              <a:cs typeface="+mn-cs"/>
            </a:rPr>
            <a:t>Rule FLag Distribution</a:t>
          </a:r>
          <a:endParaRPr lang="es-MX" sz="1600">
            <a:solidFill>
              <a:schemeClr val="accent1"/>
            </a:solidFill>
            <a:effectLst/>
          </a:endParaRPr>
        </a:p>
        <a:p>
          <a:endParaRPr lang="es-MX" sz="1100">
            <a:solidFill>
              <a:schemeClr val="accent1"/>
            </a:solidFill>
          </a:endParaRPr>
        </a:p>
      </xdr:txBody>
    </xdr:sp>
    <xdr:clientData/>
  </xdr:twoCellAnchor>
  <xdr:twoCellAnchor>
    <xdr:from>
      <xdr:col>2</xdr:col>
      <xdr:colOff>623100</xdr:colOff>
      <xdr:row>10</xdr:row>
      <xdr:rowOff>85322</xdr:rowOff>
    </xdr:from>
    <xdr:to>
      <xdr:col>6</xdr:col>
      <xdr:colOff>199663</xdr:colOff>
      <xdr:row>12</xdr:row>
      <xdr:rowOff>128131</xdr:rowOff>
    </xdr:to>
    <xdr:sp macro="" textlink="">
      <xdr:nvSpPr>
        <xdr:cNvPr id="49" name="TextBox 48">
          <a:extLst>
            <a:ext uri="{FF2B5EF4-FFF2-40B4-BE49-F238E27FC236}">
              <a16:creationId xmlns:a16="http://schemas.microsoft.com/office/drawing/2014/main" id="{11F5FFAF-B7F1-4C0D-BE33-DE488180B004}"/>
            </a:ext>
          </a:extLst>
        </xdr:cNvPr>
        <xdr:cNvSpPr txBox="1"/>
      </xdr:nvSpPr>
      <xdr:spPr>
        <a:xfrm>
          <a:off x="2308465" y="2039628"/>
          <a:ext cx="2346657" cy="40139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600">
              <a:solidFill>
                <a:schemeClr val="accent1"/>
              </a:solidFill>
              <a:latin typeface="+mj-lt"/>
            </a:rPr>
            <a:t>Avg DTI Ratio  by Decision</a:t>
          </a:r>
        </a:p>
      </xdr:txBody>
    </xdr:sp>
    <xdr:clientData/>
  </xdr:twoCellAnchor>
  <xdr:twoCellAnchor>
    <xdr:from>
      <xdr:col>17</xdr:col>
      <xdr:colOff>551384</xdr:colOff>
      <xdr:row>10</xdr:row>
      <xdr:rowOff>58427</xdr:rowOff>
    </xdr:from>
    <xdr:to>
      <xdr:col>21</xdr:col>
      <xdr:colOff>459641</xdr:colOff>
      <xdr:row>12</xdr:row>
      <xdr:rowOff>101236</xdr:rowOff>
    </xdr:to>
    <xdr:sp macro="" textlink="">
      <xdr:nvSpPr>
        <xdr:cNvPr id="50" name="TextBox 49">
          <a:extLst>
            <a:ext uri="{FF2B5EF4-FFF2-40B4-BE49-F238E27FC236}">
              <a16:creationId xmlns:a16="http://schemas.microsoft.com/office/drawing/2014/main" id="{7CEB50D5-8776-4F4B-9587-93F6629028B5}"/>
            </a:ext>
          </a:extLst>
        </xdr:cNvPr>
        <xdr:cNvSpPr txBox="1"/>
      </xdr:nvSpPr>
      <xdr:spPr>
        <a:xfrm>
          <a:off x="11712443" y="2012733"/>
          <a:ext cx="2346657" cy="401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600">
              <a:solidFill>
                <a:schemeClr val="accent1"/>
              </a:solidFill>
              <a:latin typeface="+mj-lt"/>
            </a:rPr>
            <a:t>Current debt</a:t>
          </a:r>
          <a:r>
            <a:rPr lang="es-MX" sz="1600" baseline="0">
              <a:solidFill>
                <a:schemeClr val="accent1"/>
              </a:solidFill>
              <a:latin typeface="+mj-lt"/>
            </a:rPr>
            <a:t> by rule flag</a:t>
          </a:r>
          <a:endParaRPr lang="es-MX" sz="1600">
            <a:solidFill>
              <a:schemeClr val="accent1"/>
            </a:solidFill>
            <a:latin typeface="+mj-lt"/>
          </a:endParaRPr>
        </a:p>
      </xdr:txBody>
    </xdr:sp>
    <xdr:clientData/>
  </xdr:twoCellAnchor>
  <xdr:twoCellAnchor>
    <xdr:from>
      <xdr:col>1</xdr:col>
      <xdr:colOff>232612</xdr:colOff>
      <xdr:row>23</xdr:row>
      <xdr:rowOff>120539</xdr:rowOff>
    </xdr:from>
    <xdr:to>
      <xdr:col>7</xdr:col>
      <xdr:colOff>558800</xdr:colOff>
      <xdr:row>33</xdr:row>
      <xdr:rowOff>101600</xdr:rowOff>
    </xdr:to>
    <xdr:graphicFrame macro="">
      <xdr:nvGraphicFramePr>
        <xdr:cNvPr id="5" name="Chart 4">
          <a:extLst>
            <a:ext uri="{FF2B5EF4-FFF2-40B4-BE49-F238E27FC236}">
              <a16:creationId xmlns:a16="http://schemas.microsoft.com/office/drawing/2014/main" id="{019650FF-28E9-41BD-B3CF-D0C566DBCA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218573</xdr:colOff>
      <xdr:row>11</xdr:row>
      <xdr:rowOff>8964</xdr:rowOff>
    </xdr:from>
    <xdr:to>
      <xdr:col>23</xdr:col>
      <xdr:colOff>186016</xdr:colOff>
      <xdr:row>21</xdr:row>
      <xdr:rowOff>62753</xdr:rowOff>
    </xdr:to>
    <xdr:graphicFrame macro="">
      <xdr:nvGraphicFramePr>
        <xdr:cNvPr id="6" name="Chart 5">
          <a:extLst>
            <a:ext uri="{FF2B5EF4-FFF2-40B4-BE49-F238E27FC236}">
              <a16:creationId xmlns:a16="http://schemas.microsoft.com/office/drawing/2014/main" id="{17532327-5EC4-4DE8-8135-5CAB37EBAC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17</xdr:col>
      <xdr:colOff>560013</xdr:colOff>
      <xdr:row>3</xdr:row>
      <xdr:rowOff>252810</xdr:rowOff>
    </xdr:from>
    <xdr:to>
      <xdr:col>21</xdr:col>
      <xdr:colOff>265545</xdr:colOff>
      <xdr:row>9</xdr:row>
      <xdr:rowOff>173182</xdr:rowOff>
    </xdr:to>
    <mc:AlternateContent xmlns:mc="http://schemas.openxmlformats.org/markup-compatibility/2006" xmlns:a14="http://schemas.microsoft.com/office/drawing/2010/main">
      <mc:Choice Requires="a14">
        <xdr:graphicFrame macro="">
          <xdr:nvGraphicFramePr>
            <xdr:cNvPr id="7" name="Decision">
              <a:extLst>
                <a:ext uri="{FF2B5EF4-FFF2-40B4-BE49-F238E27FC236}">
                  <a16:creationId xmlns:a16="http://schemas.microsoft.com/office/drawing/2014/main" id="{184A7587-A301-880F-A1AA-ACF24405F817}"/>
                </a:ext>
              </a:extLst>
            </xdr:cNvPr>
            <xdr:cNvGraphicFramePr/>
          </xdr:nvGraphicFramePr>
          <xdr:xfrm>
            <a:off x="0" y="0"/>
            <a:ext cx="0" cy="0"/>
          </xdr:xfrm>
          <a:graphic>
            <a:graphicData uri="http://schemas.microsoft.com/office/drawing/2010/slicer">
              <sle:slicer xmlns:sle="http://schemas.microsoft.com/office/drawing/2010/slicer" name="Decision"/>
            </a:graphicData>
          </a:graphic>
        </xdr:graphicFrame>
      </mc:Choice>
      <mc:Fallback xmlns="">
        <xdr:sp macro="" textlink="">
          <xdr:nvSpPr>
            <xdr:cNvPr id="0" name=""/>
            <xdr:cNvSpPr>
              <a:spLocks noTextEdit="1"/>
            </xdr:cNvSpPr>
          </xdr:nvSpPr>
          <xdr:spPr>
            <a:xfrm>
              <a:off x="11896434" y="814284"/>
              <a:ext cx="2165322" cy="1190372"/>
            </a:xfrm>
            <a:prstGeom prst="rect">
              <a:avLst/>
            </a:prstGeom>
            <a:solidFill>
              <a:prstClr val="white"/>
            </a:solidFill>
            <a:ln w="1">
              <a:solidFill>
                <a:prstClr val="green"/>
              </a:solidFill>
            </a:ln>
          </xdr:spPr>
          <xdr:txBody>
            <a:bodyPr vertOverflow="clip" horzOverflow="clip"/>
            <a:lstStyle/>
            <a:p>
              <a:r>
                <a:rPr lang="es-MX"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173790</xdr:colOff>
      <xdr:row>27</xdr:row>
      <xdr:rowOff>106947</xdr:rowOff>
    </xdr:from>
    <xdr:to>
      <xdr:col>0</xdr:col>
      <xdr:colOff>906854</xdr:colOff>
      <xdr:row>31</xdr:row>
      <xdr:rowOff>77983</xdr:rowOff>
    </xdr:to>
    <xdr:pic>
      <xdr:nvPicPr>
        <xdr:cNvPr id="4" name="Graphic 3" descr="Employee badge outline">
          <a:hlinkClick xmlns:r="http://schemas.openxmlformats.org/officeDocument/2006/relationships" r:id="rId20"/>
          <a:extLst>
            <a:ext uri="{FF2B5EF4-FFF2-40B4-BE49-F238E27FC236}">
              <a16:creationId xmlns:a16="http://schemas.microsoft.com/office/drawing/2014/main" id="{4BF62B9B-0E19-47FA-A467-39F594FE572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73790" y="5307263"/>
          <a:ext cx="733064" cy="71966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lina Brito" refreshedDate="46092.801118518517" createdVersion="8" refreshedVersion="8" minRefreshableVersion="3" recordCount="600" xr:uid="{130F86D8-C476-46BC-B941-7C5BD2E45D1F}">
  <cacheSource type="worksheet">
    <worksheetSource name="EV"/>
  </cacheSource>
  <cacheFields count="13">
    <cacheField name="ID" numFmtId="0">
      <sharedItems containsSemiMixedTypes="0" containsString="0" containsNumber="1" containsInteger="1" minValue="1" maxValue="600"/>
    </cacheField>
    <cacheField name="Client_Name" numFmtId="0">
      <sharedItems/>
    </cacheField>
    <cacheField name="Age" numFmtId="0">
      <sharedItems containsSemiMixedTypes="0" containsString="0" containsNumber="1" containsInteger="1" minValue="20" maxValue="65"/>
    </cacheField>
    <cacheField name="Monthly_Income" numFmtId="0">
      <sharedItems containsSemiMixedTypes="0" containsString="0" containsNumber="1" containsInteger="1" minValue="2545" maxValue="119682"/>
    </cacheField>
    <cacheField name="Loan_Amount" numFmtId="164">
      <sharedItems containsSemiMixedTypes="0" containsString="0" containsNumber="1" containsInteger="1" minValue="51893" maxValue="2490850"/>
    </cacheField>
    <cacheField name="Annual_Rate" numFmtId="0">
      <sharedItems containsSemiMixedTypes="0" containsString="0" containsNumber="1" minValue="0.05" maxValue="0.15"/>
    </cacheField>
    <cacheField name="Term_Years" numFmtId="0">
      <sharedItems containsSemiMixedTypes="0" containsString="0" containsNumber="1" containsInteger="1" minValue="10" maxValue="30"/>
    </cacheField>
    <cacheField name="Credit_Score" numFmtId="0">
      <sharedItems containsSemiMixedTypes="0" containsString="0" containsNumber="1" containsInteger="1" minValue="582" maxValue="850" count="234">
        <n v="694"/>
        <n v="691"/>
        <n v="639"/>
        <n v="615"/>
        <n v="757"/>
        <n v="798"/>
        <n v="791"/>
        <n v="848"/>
        <n v="649"/>
        <n v="629"/>
        <n v="838"/>
        <n v="662"/>
        <n v="784"/>
        <n v="621"/>
        <n v="712"/>
        <n v="670"/>
        <n v="609"/>
        <n v="645"/>
        <n v="796"/>
        <n v="754"/>
        <n v="617"/>
        <n v="766"/>
        <n v="631"/>
        <n v="641"/>
        <n v="659"/>
        <n v="806"/>
        <n v="606"/>
        <n v="642"/>
        <n v="830"/>
        <n v="601"/>
        <n v="640"/>
        <n v="602"/>
        <n v="657"/>
        <n v="729"/>
        <n v="752"/>
        <n v="690"/>
        <n v="689"/>
        <n v="850"/>
        <n v="719"/>
        <n v="769"/>
        <n v="638"/>
        <n v="799"/>
        <n v="829"/>
        <n v="774"/>
        <n v="644"/>
        <n v="801"/>
        <n v="614"/>
        <n v="795"/>
        <n v="786"/>
        <n v="643"/>
        <n v="650"/>
        <n v="699"/>
        <n v="789"/>
        <n v="751"/>
        <n v="818"/>
        <n v="605"/>
        <n v="835"/>
        <n v="750"/>
        <n v="671"/>
        <n v="623"/>
        <n v="783"/>
        <n v="709"/>
        <n v="713"/>
        <n v="675"/>
        <n v="702"/>
        <n v="648"/>
        <n v="705"/>
        <n v="815"/>
        <n v="635"/>
        <n v="836"/>
        <n v="762"/>
        <n v="660"/>
        <n v="780"/>
        <n v="767"/>
        <n v="680"/>
        <n v="664"/>
        <n v="728"/>
        <n v="624"/>
        <n v="781"/>
        <n v="697"/>
        <n v="658"/>
        <n v="802"/>
        <n v="810"/>
        <n v="800"/>
        <n v="744"/>
        <n v="716"/>
        <n v="738"/>
        <n v="695"/>
        <n v="748"/>
        <n v="745"/>
        <n v="842"/>
        <n v="647"/>
        <n v="672"/>
        <n v="740"/>
        <n v="620"/>
        <n v="665"/>
        <n v="743"/>
        <n v="832"/>
        <n v="804"/>
        <n v="816"/>
        <n v="636"/>
        <n v="849"/>
        <n v="703"/>
        <n v="824"/>
        <n v="737"/>
        <n v="661"/>
        <n v="652"/>
        <n v="825"/>
        <n v="696"/>
        <n v="718"/>
        <n v="839"/>
        <n v="612"/>
        <n v="822"/>
        <n v="759"/>
        <n v="734"/>
        <n v="733"/>
        <n v="779"/>
        <n v="844"/>
        <n v="692"/>
        <n v="714"/>
        <n v="625"/>
        <n v="666"/>
        <n v="764"/>
        <n v="604"/>
        <n v="608"/>
        <n v="749"/>
        <n v="792"/>
        <n v="843"/>
        <n v="633"/>
        <n v="847"/>
        <n v="704"/>
        <n v="845"/>
        <n v="817"/>
        <n v="776"/>
        <n v="607"/>
        <n v="687"/>
        <n v="814"/>
        <n v="746"/>
        <n v="683"/>
        <n v="821"/>
        <n v="676"/>
        <n v="747"/>
        <n v="706"/>
        <n v="708"/>
        <n v="736"/>
        <n v="797"/>
        <n v="834"/>
        <n v="765"/>
        <n v="758"/>
        <n v="711"/>
        <n v="688"/>
        <n v="619"/>
        <n v="600"/>
        <n v="785"/>
        <n v="667"/>
        <n v="701"/>
        <n v="700"/>
        <n v="663"/>
        <n v="794"/>
        <n v="632"/>
        <n v="787"/>
        <n v="616"/>
        <n v="613"/>
        <n v="809"/>
        <n v="610"/>
        <n v="827"/>
        <n v="686"/>
        <n v="819"/>
        <n v="673"/>
        <n v="710"/>
        <n v="698"/>
        <n v="790"/>
        <n v="724"/>
        <n v="720"/>
        <n v="656"/>
        <n v="741"/>
        <n v="812"/>
        <n v="626"/>
        <n v="742"/>
        <n v="782"/>
        <n v="775"/>
        <n v="727"/>
        <n v="823"/>
        <n v="637"/>
        <n v="753"/>
        <n v="732"/>
        <n v="739"/>
        <n v="651"/>
        <n v="788"/>
        <n v="828"/>
        <n v="655"/>
        <n v="805"/>
        <n v="773"/>
        <n v="634"/>
        <n v="603"/>
        <n v="693"/>
        <n v="771"/>
        <n v="831"/>
        <n v="770"/>
        <n v="715"/>
        <n v="685"/>
        <n v="628"/>
        <n v="735"/>
        <n v="761"/>
        <n v="611"/>
        <n v="725"/>
        <n v="837"/>
        <n v="777"/>
        <n v="653"/>
        <n v="707"/>
        <n v="682"/>
        <n v="820"/>
        <n v="681"/>
        <n v="763"/>
        <n v="807"/>
        <n v="677"/>
        <n v="646"/>
        <n v="826"/>
        <n v="684"/>
        <n v="840"/>
        <n v="582"/>
        <n v="772"/>
        <n v="721"/>
        <n v="813"/>
        <n v="723"/>
        <n v="730"/>
        <n v="841"/>
        <n v="669"/>
        <n v="846"/>
        <n v="803"/>
        <n v="674"/>
        <n v="679"/>
        <n v="722"/>
        <n v="586"/>
      </sharedItems>
      <fieldGroup base="7">
        <rangePr startNum="582" endNum="850" groupInterval="50"/>
        <groupItems count="8">
          <s v="&lt;582"/>
          <s v="582-631"/>
          <s v="632-681"/>
          <s v="682-731"/>
          <s v="732-781"/>
          <s v="782-831"/>
          <s v="832-881"/>
          <s v="&gt;882"/>
        </groupItems>
      </fieldGroup>
    </cacheField>
    <cacheField name="Years_Employment" numFmtId="0">
      <sharedItems containsSemiMixedTypes="0" containsString="0" containsNumber="1" containsInteger="1" minValue="0" maxValue="20"/>
    </cacheField>
    <cacheField name="Current_Debt" numFmtId="164">
      <sharedItems containsSemiMixedTypes="0" containsString="0" containsNumber="1" containsInteger="1" minValue="7" maxValue="49885"/>
    </cacheField>
    <cacheField name="Decision" numFmtId="0">
      <sharedItems count="3">
        <s v="Approved"/>
        <s v="Refused"/>
        <s v="Revision"/>
      </sharedItems>
    </cacheField>
    <cacheField name="DTI Ratio" numFmtId="0">
      <sharedItems containsSemiMixedTypes="0" containsString="0" containsNumber="1" minValue="3.4876189527178515E-4" maxValue="17.470801595937612"/>
    </cacheField>
    <cacheField name="Rule_Flag" numFmtId="0">
      <sharedItems count="7">
        <s v="Mid Credit Profile Rule"/>
        <s v="Very Low Credit Score Rule"/>
        <s v="Age Rule"/>
        <s v="Other Risk Factors"/>
        <s v="Strong Credit Profile Rule"/>
        <s v="Moderate Credit Score Rule"/>
        <s v="Low Credit Score Rule" u="1"/>
      </sharedItems>
    </cacheField>
  </cacheFields>
  <extLst>
    <ext xmlns:x14="http://schemas.microsoft.com/office/spreadsheetml/2009/9/main" uri="{725AE2AE-9491-48be-B2B4-4EB974FC3084}">
      <x14:pivotCacheDefinition pivotCacheId="86727036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lina Brito" refreshedDate="46092.801119097225" createdVersion="8" refreshedVersion="8" minRefreshableVersion="3" recordCount="602" xr:uid="{ABD5FE67-CAF2-4651-8A85-017FE749654C}">
  <cacheSource type="worksheet">
    <worksheetSource ref="A1:K1048576" sheet="Evaluations"/>
  </cacheSource>
  <cacheFields count="11">
    <cacheField name="ID" numFmtId="0">
      <sharedItems containsString="0" containsBlank="1" containsNumber="1" containsInteger="1" minValue="1" maxValue="600"/>
    </cacheField>
    <cacheField name="Client_Name" numFmtId="0">
      <sharedItems containsBlank="1"/>
    </cacheField>
    <cacheField name="Age" numFmtId="0">
      <sharedItems containsString="0" containsBlank="1" containsNumber="1" containsInteger="1" minValue="20" maxValue="65"/>
    </cacheField>
    <cacheField name="Monthly_Income" numFmtId="0">
      <sharedItems containsString="0" containsBlank="1" containsNumber="1" containsInteger="1" minValue="2545" maxValue="119682"/>
    </cacheField>
    <cacheField name="Loan_Amount" numFmtId="0">
      <sharedItems containsString="0" containsBlank="1" containsNumber="1" containsInteger="1" minValue="51893" maxValue="2490850" count="600">
        <n v="2412106"/>
        <n v="2360101"/>
        <n v="1709269"/>
        <n v="2114844"/>
        <n v="1544591"/>
        <n v="814416"/>
        <n v="1914757"/>
        <n v="2324321"/>
        <n v="1526262"/>
        <n v="2432958"/>
        <n v="1076295"/>
        <n v="2284946"/>
        <n v="719317"/>
        <n v="1096062"/>
        <n v="2315728"/>
        <n v="1283175"/>
        <n v="2371937"/>
        <n v="1533247"/>
        <n v="2420710"/>
        <n v="1499619"/>
        <n v="2124334"/>
        <n v="1527330"/>
        <n v="1271045"/>
        <n v="1086545"/>
        <n v="2196520"/>
        <n v="841760"/>
        <n v="1742366"/>
        <n v="1492349"/>
        <n v="1144324"/>
        <n v="1240637"/>
        <n v="882937"/>
        <n v="1147576"/>
        <n v="940945"/>
        <n v="2376527"/>
        <n v="581141"/>
        <n v="2329885"/>
        <n v="987501"/>
        <n v="2167187"/>
        <n v="1926666"/>
        <n v="557580"/>
        <n v="2330942"/>
        <n v="1821899"/>
        <n v="1011585"/>
        <n v="2294336"/>
        <n v="1825789"/>
        <n v="1823136"/>
        <n v="2373556"/>
        <n v="1438762"/>
        <n v="1602187"/>
        <n v="1270634"/>
        <n v="1684806"/>
        <n v="2113347"/>
        <n v="2391742"/>
        <n v="2302554"/>
        <n v="2359664"/>
        <n v="685148"/>
        <n v="1206997"/>
        <n v="1174637"/>
        <n v="1006085"/>
        <n v="1255700"/>
        <n v="500790"/>
        <n v="1600456"/>
        <n v="1179222"/>
        <n v="1397889"/>
        <n v="1862434"/>
        <n v="1553060"/>
        <n v="1849070"/>
        <n v="2398755"/>
        <n v="2093274"/>
        <n v="1012162"/>
        <n v="2198371"/>
        <n v="923759"/>
        <n v="2460956"/>
        <n v="1345887"/>
        <n v="2292112"/>
        <n v="1178667"/>
        <n v="1572035"/>
        <n v="583921"/>
        <n v="1965705"/>
        <n v="1516552"/>
        <n v="985000"/>
        <n v="2226421"/>
        <n v="2190516"/>
        <n v="2115509"/>
        <n v="1173697"/>
        <n v="1967157"/>
        <n v="1674478"/>
        <n v="1419496"/>
        <n v="1701969"/>
        <n v="2351748"/>
        <n v="2098642"/>
        <n v="565222"/>
        <n v="2416532"/>
        <n v="1377173"/>
        <n v="1336419"/>
        <n v="972610"/>
        <n v="1239094"/>
        <n v="976290"/>
        <n v="847438"/>
        <n v="2275634"/>
        <n v="814123"/>
        <n v="1451260"/>
        <n v="1901123"/>
        <n v="1859579"/>
        <n v="1725391"/>
        <n v="2004169"/>
        <n v="986301"/>
        <n v="866113"/>
        <n v="2283372"/>
        <n v="618104"/>
        <n v="1527226"/>
        <n v="1013356"/>
        <n v="627614"/>
        <n v="845248"/>
        <n v="805323"/>
        <n v="1551762"/>
        <n v="785619"/>
        <n v="1253589"/>
        <n v="701560"/>
        <n v="925770"/>
        <n v="1921837"/>
        <n v="1076975"/>
        <n v="1296405"/>
        <n v="1833728"/>
        <n v="1721234"/>
        <n v="1043552"/>
        <n v="1939237"/>
        <n v="1562982"/>
        <n v="2181322"/>
        <n v="897042"/>
        <n v="1332329"/>
        <n v="1725427"/>
        <n v="2344366"/>
        <n v="1297586"/>
        <n v="1756656"/>
        <n v="896232"/>
        <n v="1067689"/>
        <n v="1771467"/>
        <n v="862030"/>
        <n v="2178152"/>
        <n v="2453596"/>
        <n v="1190375"/>
        <n v="2390383"/>
        <n v="1214276"/>
        <n v="947456"/>
        <n v="1508067"/>
        <n v="1728769"/>
        <n v="1534254"/>
        <n v="2237806"/>
        <n v="2251253"/>
        <n v="2311648"/>
        <n v="1114414"/>
        <n v="1626078"/>
        <n v="920891"/>
        <n v="2340445"/>
        <n v="883994"/>
        <n v="1961890"/>
        <n v="2090679"/>
        <n v="1969235"/>
        <n v="1770711"/>
        <n v="1149128"/>
        <n v="784390"/>
        <n v="911189"/>
        <n v="1561656"/>
        <n v="1267767"/>
        <n v="1885732"/>
        <n v="950237"/>
        <n v="1814693"/>
        <n v="2111484"/>
        <n v="1473655"/>
        <n v="1172106"/>
        <n v="868446"/>
        <n v="1101292"/>
        <n v="1947684"/>
        <n v="2260444"/>
        <n v="1455241"/>
        <n v="859380"/>
        <n v="1871498"/>
        <n v="509045"/>
        <n v="2091491"/>
        <n v="2484205"/>
        <n v="1531916"/>
        <n v="775624"/>
        <n v="1009201"/>
        <n v="1921449"/>
        <n v="2444679"/>
        <n v="1306568"/>
        <n v="1509192"/>
        <n v="1952181"/>
        <n v="2330994"/>
        <n v="880594"/>
        <n v="856125"/>
        <n v="1244785"/>
        <n v="2355711"/>
        <n v="596046"/>
        <n v="1499621"/>
        <n v="526104"/>
        <n v="1276204"/>
        <n v="2346798"/>
        <n v="1412095"/>
        <n v="2123574"/>
        <n v="1686002"/>
        <n v="1061859"/>
        <n v="578384"/>
        <n v="2247421"/>
        <n v="940828"/>
        <n v="575965"/>
        <n v="1540952"/>
        <n v="1569770"/>
        <n v="650159"/>
        <n v="1571618"/>
        <n v="2309552"/>
        <n v="1999667"/>
        <n v="754708"/>
        <n v="1153215"/>
        <n v="2415712"/>
        <n v="1299341"/>
        <n v="1300775"/>
        <n v="1726090"/>
        <n v="1767012"/>
        <n v="1779959"/>
        <n v="1916927"/>
        <n v="2478782"/>
        <n v="1982531"/>
        <n v="1111040"/>
        <n v="2238610"/>
        <n v="1337865"/>
        <n v="1441709"/>
        <n v="1965821"/>
        <n v="2280327"/>
        <n v="1156679"/>
        <n v="2339666"/>
        <n v="1172727"/>
        <n v="1931749"/>
        <n v="1732646"/>
        <n v="607840"/>
        <n v="1979850"/>
        <n v="1586116"/>
        <n v="1202832"/>
        <n v="1451972"/>
        <n v="825908"/>
        <n v="791847"/>
        <n v="1106997"/>
        <n v="1019916"/>
        <n v="1769112"/>
        <n v="532663"/>
        <n v="1883958"/>
        <n v="847680"/>
        <n v="583265"/>
        <n v="1647970"/>
        <n v="893536"/>
        <n v="1928825"/>
        <n v="2158630"/>
        <n v="905501"/>
        <n v="2343196"/>
        <n v="2203899"/>
        <n v="2487430"/>
        <n v="1335845"/>
        <n v="576692"/>
        <n v="2314655"/>
        <n v="2007305"/>
        <n v="1548718"/>
        <n v="1933972"/>
        <n v="1276168"/>
        <n v="2456792"/>
        <n v="2191977"/>
        <n v="2465191"/>
        <n v="2033737"/>
        <n v="580669"/>
        <n v="1155980"/>
        <n v="1075983"/>
        <n v="803217"/>
        <n v="549013"/>
        <n v="1604460"/>
        <n v="1098005"/>
        <n v="992772"/>
        <n v="2153231"/>
        <n v="986774"/>
        <n v="1270265"/>
        <n v="2405664"/>
        <n v="2356705"/>
        <n v="2170097"/>
        <n v="1305033"/>
        <n v="1078739"/>
        <n v="813339"/>
        <n v="1096865"/>
        <n v="2082167"/>
        <n v="2286010"/>
        <n v="1277411"/>
        <n v="2276193"/>
        <n v="2399542"/>
        <n v="2424798"/>
        <n v="2297176"/>
        <n v="1705093"/>
        <n v="1724857"/>
        <n v="2082419"/>
        <n v="1236308"/>
        <n v="1264433"/>
        <n v="733692"/>
        <n v="1858382"/>
        <n v="1456653"/>
        <n v="1046461"/>
        <n v="1769528"/>
        <n v="1671335"/>
        <n v="1956606"/>
        <n v="744959"/>
        <n v="1668993"/>
        <n v="1062592"/>
        <n v="1250219"/>
        <n v="1995418"/>
        <n v="2238438"/>
        <n v="2421491"/>
        <n v="1176457"/>
        <n v="1241244"/>
        <n v="664608"/>
        <n v="2287152"/>
        <n v="1908850"/>
        <n v="1388537"/>
        <n v="1829469"/>
        <n v="2281881"/>
        <n v="1643131"/>
        <n v="871954"/>
        <n v="1026886"/>
        <n v="697469"/>
        <n v="1691874"/>
        <n v="2367412"/>
        <n v="949854"/>
        <n v="790480"/>
        <n v="1259586"/>
        <n v="1216134"/>
        <n v="1650784"/>
        <n v="640690"/>
        <n v="654424"/>
        <n v="599957"/>
        <n v="598152"/>
        <n v="1472232"/>
        <n v="2030913"/>
        <n v="2032337"/>
        <n v="1087913"/>
        <n v="2206342"/>
        <n v="1971382"/>
        <n v="1782786"/>
        <n v="1219319"/>
        <n v="1854477"/>
        <n v="1983605"/>
        <n v="1796050"/>
        <n v="1077287"/>
        <n v="725327"/>
        <n v="2334252"/>
        <n v="1043288"/>
        <n v="550949"/>
        <n v="2490850"/>
        <n v="1299191"/>
        <n v="1600710"/>
        <n v="910350"/>
        <n v="1897185"/>
        <n v="929576"/>
        <n v="1589174"/>
        <n v="2303716"/>
        <n v="1010997"/>
        <n v="606025"/>
        <n v="2005983"/>
        <n v="2482397"/>
        <n v="2337063"/>
        <n v="1814411"/>
        <n v="2406341"/>
        <n v="1158843"/>
        <n v="1750519"/>
        <n v="590543"/>
        <n v="1500242"/>
        <n v="563477"/>
        <n v="1169857"/>
        <n v="824129"/>
        <n v="1515601"/>
        <n v="1451588"/>
        <n v="2336753"/>
        <n v="1000426"/>
        <n v="2397193"/>
        <n v="1674030"/>
        <n v="2390364"/>
        <n v="1714721"/>
        <n v="1234691"/>
        <n v="1727244"/>
        <n v="572623"/>
        <n v="1988776"/>
        <n v="1142236"/>
        <n v="1625423"/>
        <n v="2136373"/>
        <n v="1953049"/>
        <n v="1831330"/>
        <n v="1830209"/>
        <n v="2187487"/>
        <n v="2001856"/>
        <n v="621415"/>
        <n v="879420"/>
        <n v="1049384"/>
        <n v="1882799"/>
        <n v="1183744"/>
        <n v="2467902"/>
        <n v="718952"/>
        <n v="2196795"/>
        <n v="1108713"/>
        <n v="1174340"/>
        <n v="2179840"/>
        <n v="2052127"/>
        <n v="1758284"/>
        <n v="1105654"/>
        <n v="1188979"/>
        <n v="670259"/>
        <n v="2389910"/>
        <n v="1235882"/>
        <n v="512770"/>
        <n v="2440704"/>
        <n v="1754360"/>
        <n v="1816034"/>
        <n v="2234469"/>
        <n v="1348590"/>
        <n v="1036477"/>
        <n v="1538128"/>
        <n v="982483"/>
        <n v="2105899"/>
        <n v="1744925"/>
        <n v="1861917"/>
        <n v="807357"/>
        <n v="1411002"/>
        <n v="1474326"/>
        <n v="1841177"/>
        <n v="1538861"/>
        <n v="2234802"/>
        <n v="1065686"/>
        <n v="1929540"/>
        <n v="2142464"/>
        <n v="2120376"/>
        <n v="2357595"/>
        <n v="777295"/>
        <n v="2282811"/>
        <n v="1222501"/>
        <n v="1274383"/>
        <n v="1957672"/>
        <n v="2150936"/>
        <n v="1224847"/>
        <n v="1930280"/>
        <n v="1754960"/>
        <n v="1643932"/>
        <n v="1524896"/>
        <n v="1494819"/>
        <n v="1089095"/>
        <n v="2324116"/>
        <n v="1573383"/>
        <n v="1115420"/>
        <n v="962942"/>
        <n v="1222952"/>
        <n v="2226796"/>
        <n v="690128"/>
        <n v="1825108"/>
        <n v="889185"/>
        <n v="1691283"/>
        <n v="1676493"/>
        <n v="2184014"/>
        <n v="1169127"/>
        <n v="866739"/>
        <n v="2283124"/>
        <n v="1234473"/>
        <n v="869926"/>
        <n v="607753"/>
        <n v="917534"/>
        <n v="708020"/>
        <n v="951673"/>
        <n v="1916314"/>
        <n v="1922141"/>
        <n v="2279316"/>
        <n v="1011939"/>
        <n v="1531336"/>
        <n v="807644"/>
        <n v="1909157"/>
        <n v="1790782"/>
        <n v="2460076"/>
        <n v="1075368"/>
        <n v="1404309"/>
        <n v="1183633"/>
        <n v="2096516"/>
        <n v="1280253"/>
        <n v="2283616"/>
        <n v="522347"/>
        <n v="1302617"/>
        <n v="2213881"/>
        <n v="1254781"/>
        <n v="977213"/>
        <n v="2057793"/>
        <n v="1130583"/>
        <n v="1141405"/>
        <n v="994918"/>
        <n v="669814"/>
        <n v="1329483"/>
        <n v="2058645"/>
        <n v="2381321"/>
        <n v="661456"/>
        <n v="2143382"/>
        <n v="1163741"/>
        <n v="1395165"/>
        <n v="84669"/>
        <n v="477917"/>
        <n v="343008"/>
        <n v="404012"/>
        <n v="171903"/>
        <n v="354160"/>
        <n v="481720"/>
        <n v="478480"/>
        <n v="410705"/>
        <n v="252712"/>
        <n v="304559"/>
        <n v="259460"/>
        <n v="434462"/>
        <n v="380091"/>
        <n v="327694"/>
        <n v="123757"/>
        <n v="134213"/>
        <n v="345898"/>
        <n v="405651"/>
        <n v="240676"/>
        <n v="419375"/>
        <n v="179581"/>
        <n v="71367"/>
        <n v="479611"/>
        <n v="51893"/>
        <n v="319313"/>
        <n v="94598"/>
        <n v="253187"/>
        <n v="434395"/>
        <n v="408649"/>
        <n v="90973"/>
        <n v="257169"/>
        <n v="472248"/>
        <n v="439654"/>
        <n v="321327"/>
        <n v="359592"/>
        <n v="385488"/>
        <n v="337520"/>
        <n v="320402"/>
        <n v="280707"/>
        <n v="445945"/>
        <n v="92052"/>
        <n v="449114"/>
        <n v="92395"/>
        <n v="221367"/>
        <n v="288771"/>
        <n v="59162"/>
        <n v="219825"/>
        <n v="434140"/>
        <n v="388872"/>
        <n v="385889"/>
        <n v="205597"/>
        <n v="120463"/>
        <n v="59307"/>
        <n v="494506"/>
        <n v="291978"/>
        <n v="82129"/>
        <n v="228217"/>
        <n v="175930"/>
        <n v="410714"/>
        <n v="480868"/>
        <n v="485448"/>
        <n v="344074"/>
        <n v="164115"/>
        <n v="489832"/>
        <n v="187776"/>
        <n v="98171"/>
        <n v="290151"/>
        <n v="444360"/>
        <n v="328192"/>
        <n v="311211"/>
        <n v="89689"/>
        <n v="281028"/>
        <n v="459224"/>
        <n v="227411"/>
        <n v="272128"/>
        <n v="358095"/>
        <n v="467883"/>
        <n v="412798"/>
        <n v="309054"/>
        <n v="446635"/>
        <n v="337191"/>
        <n v="154566"/>
        <n v="151323"/>
        <n v="310447"/>
        <n v="217164"/>
        <n v="180943"/>
        <n v="306013"/>
        <n v="432412"/>
        <n v="271283"/>
        <n v="468548"/>
        <n v="248034"/>
        <n v="356824"/>
        <n v="296239"/>
        <n v="275604"/>
        <n v="221726"/>
        <n v="491153"/>
        <n v="146722"/>
        <n v="216909"/>
        <m/>
      </sharedItems>
      <fieldGroup base="4">
        <rangePr autoStart="0" autoEnd="0" startNum="500000" endNum="2500000" groupInterval="500000"/>
        <groupItems count="6">
          <s v="&lt;500000 or (blank)"/>
          <s v="500000-999999"/>
          <s v="1000000-1499999"/>
          <s v="1500000-1999999"/>
          <s v="2000000-2500000"/>
          <s v="&gt;2500000"/>
        </groupItems>
      </fieldGroup>
    </cacheField>
    <cacheField name="Annual_Rate" numFmtId="0">
      <sharedItems containsString="0" containsBlank="1" containsNumber="1" minValue="0.05" maxValue="0.15"/>
    </cacheField>
    <cacheField name="Term_Years" numFmtId="0">
      <sharedItems containsString="0" containsBlank="1" containsNumber="1" containsInteger="1" minValue="10" maxValue="30"/>
    </cacheField>
    <cacheField name="Credit_Score" numFmtId="0">
      <sharedItems containsString="0" containsBlank="1" containsNumber="1" containsInteger="1" minValue="582" maxValue="850"/>
    </cacheField>
    <cacheField name="Years_Employment" numFmtId="0">
      <sharedItems containsString="0" containsBlank="1" containsNumber="1" containsInteger="1" minValue="0" maxValue="20"/>
    </cacheField>
    <cacheField name="Current_Debt" numFmtId="0">
      <sharedItems containsString="0" containsBlank="1" containsNumber="1" containsInteger="1" minValue="7" maxValue="49885"/>
    </cacheField>
    <cacheField name="Decision" numFmtId="0">
      <sharedItems containsBlank="1" count="4">
        <s v="Approved"/>
        <s v="Refused"/>
        <s v="Revision"/>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0">
  <r>
    <n v="1"/>
    <s v="CLIENT_1"/>
    <n v="49"/>
    <n v="85404"/>
    <n v="2412106"/>
    <n v="8.6999999999999994E-2"/>
    <n v="30"/>
    <x v="0"/>
    <n v="9"/>
    <n v="877"/>
    <x v="0"/>
    <n v="1.0268839866985152E-2"/>
    <x v="0"/>
  </r>
  <r>
    <n v="2"/>
    <s v="CLIENT_2"/>
    <n v="48"/>
    <n v="84304"/>
    <n v="2360101"/>
    <n v="0.11"/>
    <n v="25"/>
    <x v="1"/>
    <n v="0"/>
    <n v="1134"/>
    <x v="0"/>
    <n v="1.3451319035870183E-2"/>
    <x v="0"/>
  </r>
  <r>
    <n v="3"/>
    <s v="CLIENT_3"/>
    <n v="62"/>
    <n v="29394"/>
    <n v="1709269"/>
    <n v="0.11"/>
    <n v="15"/>
    <x v="2"/>
    <n v="9"/>
    <n v="45094"/>
    <x v="1"/>
    <n v="1.5341226100564742"/>
    <x v="1"/>
  </r>
  <r>
    <n v="4"/>
    <s v="CLIENT_4"/>
    <n v="20"/>
    <n v="15953"/>
    <n v="2114844"/>
    <n v="9.1999999999999998E-2"/>
    <n v="15"/>
    <x v="3"/>
    <n v="0"/>
    <n v="39579"/>
    <x v="1"/>
    <n v="2.4809753651350843"/>
    <x v="2"/>
  </r>
  <r>
    <n v="5"/>
    <s v="CLIENT_5"/>
    <n v="22"/>
    <n v="69883"/>
    <n v="1544591"/>
    <n v="9.5000000000000001E-2"/>
    <n v="30"/>
    <x v="4"/>
    <n v="0"/>
    <n v="8542"/>
    <x v="1"/>
    <n v="0.12223287494812758"/>
    <x v="2"/>
  </r>
  <r>
    <n v="6"/>
    <s v="CLIENT_6"/>
    <n v="22"/>
    <n v="41167"/>
    <n v="814416"/>
    <n v="9.9000000000000005E-2"/>
    <n v="10"/>
    <x v="5"/>
    <n v="0"/>
    <n v="16593"/>
    <x v="1"/>
    <n v="0.40306556222216822"/>
    <x v="2"/>
  </r>
  <r>
    <n v="7"/>
    <s v="CLIENT_7"/>
    <n v="38"/>
    <n v="34129"/>
    <n v="1914757"/>
    <n v="0.109"/>
    <n v="20"/>
    <x v="6"/>
    <n v="8"/>
    <n v="28135"/>
    <x v="2"/>
    <n v="0.82437223475636556"/>
    <x v="3"/>
  </r>
  <r>
    <n v="8"/>
    <s v="CLIENT_8"/>
    <n v="62"/>
    <n v="118495"/>
    <n v="2324321"/>
    <n v="0.107"/>
    <n v="15"/>
    <x v="7"/>
    <n v="15"/>
    <n v="48061"/>
    <x v="2"/>
    <n v="0.40559517279210094"/>
    <x v="3"/>
  </r>
  <r>
    <n v="9"/>
    <s v="CLIENT_9"/>
    <n v="65"/>
    <n v="73088"/>
    <n v="1526262"/>
    <n v="9.7000000000000003E-2"/>
    <n v="10"/>
    <x v="8"/>
    <n v="8"/>
    <n v="37724"/>
    <x v="1"/>
    <n v="0.51614492119089317"/>
    <x v="1"/>
  </r>
  <r>
    <n v="10"/>
    <s v="CLIENT_10"/>
    <n v="29"/>
    <n v="36542"/>
    <n v="2432958"/>
    <n v="0.11"/>
    <n v="15"/>
    <x v="9"/>
    <n v="15"/>
    <n v="46599"/>
    <x v="1"/>
    <n v="1.2752175578786054"/>
    <x v="1"/>
  </r>
  <r>
    <n v="11"/>
    <s v="CLIENT_11"/>
    <n v="43"/>
    <n v="116098"/>
    <n v="1076295"/>
    <n v="9.1999999999999998E-2"/>
    <n v="10"/>
    <x v="10"/>
    <n v="8"/>
    <n v="10251"/>
    <x v="0"/>
    <n v="8.8296094678633572E-2"/>
    <x v="4"/>
  </r>
  <r>
    <n v="12"/>
    <s v="CLIENT_12"/>
    <n v="31"/>
    <n v="104627"/>
    <n v="2284946"/>
    <n v="8.5000000000000006E-2"/>
    <n v="10"/>
    <x v="11"/>
    <n v="6"/>
    <n v="36256"/>
    <x v="2"/>
    <n v="0.346526231278733"/>
    <x v="5"/>
  </r>
  <r>
    <n v="13"/>
    <s v="CLIENT_13"/>
    <n v="61"/>
    <n v="79509"/>
    <n v="719317"/>
    <n v="0.105"/>
    <n v="20"/>
    <x v="12"/>
    <n v="5"/>
    <n v="13801"/>
    <x v="0"/>
    <n v="0.17357783395590437"/>
    <x v="4"/>
  </r>
  <r>
    <n v="14"/>
    <s v="CLIENT_14"/>
    <n v="34"/>
    <n v="108661"/>
    <n v="1096062"/>
    <n v="9.8000000000000004E-2"/>
    <n v="30"/>
    <x v="13"/>
    <n v="3"/>
    <n v="45910"/>
    <x v="1"/>
    <n v="0.42250669513440886"/>
    <x v="1"/>
  </r>
  <r>
    <n v="15"/>
    <s v="CLIENT_15"/>
    <n v="57"/>
    <n v="34823"/>
    <n v="2315728"/>
    <n v="0.114"/>
    <n v="10"/>
    <x v="14"/>
    <n v="12"/>
    <n v="18588"/>
    <x v="2"/>
    <n v="0.53378514200384808"/>
    <x v="3"/>
  </r>
  <r>
    <n v="16"/>
    <s v="CLIENT_16"/>
    <n v="38"/>
    <n v="17478"/>
    <n v="1283175"/>
    <n v="0.111"/>
    <n v="15"/>
    <x v="15"/>
    <n v="15"/>
    <n v="27343"/>
    <x v="2"/>
    <n v="1.5644238471220964"/>
    <x v="5"/>
  </r>
  <r>
    <n v="17"/>
    <s v="CLIENT_17"/>
    <n v="24"/>
    <n v="64569"/>
    <n v="2371937"/>
    <n v="8.2000000000000003E-2"/>
    <n v="10"/>
    <x v="16"/>
    <n v="2"/>
    <n v="35929"/>
    <x v="1"/>
    <n v="0.55644349455621123"/>
    <x v="2"/>
  </r>
  <r>
    <n v="18"/>
    <s v="CLIENT_18"/>
    <n v="27"/>
    <n v="22130"/>
    <n v="1533247"/>
    <n v="9.9000000000000005E-2"/>
    <n v="30"/>
    <x v="17"/>
    <n v="12"/>
    <n v="10067"/>
    <x v="1"/>
    <n v="0.45490284681427928"/>
    <x v="1"/>
  </r>
  <r>
    <n v="19"/>
    <s v="CLIENT_19"/>
    <n v="24"/>
    <n v="114734"/>
    <n v="2420710"/>
    <n v="0.114"/>
    <n v="10"/>
    <x v="18"/>
    <n v="15"/>
    <n v="48149"/>
    <x v="1"/>
    <n v="0.41965764289574148"/>
    <x v="2"/>
  </r>
  <r>
    <n v="20"/>
    <s v="CLIENT_20"/>
    <n v="49"/>
    <n v="99004"/>
    <n v="1499619"/>
    <n v="0.111"/>
    <n v="15"/>
    <x v="19"/>
    <n v="5"/>
    <n v="47256"/>
    <x v="2"/>
    <n v="0.47731404791725585"/>
    <x v="3"/>
  </r>
  <r>
    <n v="21"/>
    <s v="CLIENT_21"/>
    <n v="39"/>
    <n v="21629"/>
    <n v="2124334"/>
    <n v="8.5000000000000006E-2"/>
    <n v="25"/>
    <x v="20"/>
    <n v="0"/>
    <n v="7527"/>
    <x v="1"/>
    <n v="0.34800499329603773"/>
    <x v="1"/>
  </r>
  <r>
    <n v="22"/>
    <s v="CLIENT_22"/>
    <n v="36"/>
    <n v="102497"/>
    <n v="1527330"/>
    <n v="9.8000000000000004E-2"/>
    <n v="25"/>
    <x v="21"/>
    <n v="7"/>
    <n v="1644"/>
    <x v="0"/>
    <n v="1.6039493838844062E-2"/>
    <x v="4"/>
  </r>
  <r>
    <n v="23"/>
    <s v="CLIENT_23"/>
    <n v="57"/>
    <n v="72608"/>
    <n v="1271045"/>
    <n v="9.2999999999999999E-2"/>
    <n v="25"/>
    <x v="22"/>
    <n v="3"/>
    <n v="103"/>
    <x v="1"/>
    <n v="1.4185764654032615E-3"/>
    <x v="1"/>
  </r>
  <r>
    <n v="24"/>
    <s v="CLIENT_24"/>
    <n v="53"/>
    <n v="41809"/>
    <n v="1086545"/>
    <n v="0.12"/>
    <n v="20"/>
    <x v="23"/>
    <n v="3"/>
    <n v="12126"/>
    <x v="1"/>
    <n v="0.29003324643019446"/>
    <x v="1"/>
  </r>
  <r>
    <n v="25"/>
    <s v="CLIENT_25"/>
    <n v="39"/>
    <n v="102275"/>
    <n v="2196520"/>
    <n v="9.0999999999999998E-2"/>
    <n v="20"/>
    <x v="24"/>
    <n v="14"/>
    <n v="36752"/>
    <x v="2"/>
    <n v="0.35934490344659009"/>
    <x v="5"/>
  </r>
  <r>
    <n v="26"/>
    <s v="CLIENT_26"/>
    <n v="26"/>
    <n v="70534"/>
    <n v="841760"/>
    <n v="8.3000000000000004E-2"/>
    <n v="15"/>
    <x v="25"/>
    <n v="6"/>
    <n v="16185"/>
    <x v="2"/>
    <n v="0.22946380468993677"/>
    <x v="3"/>
  </r>
  <r>
    <n v="27"/>
    <s v="CLIENT_27"/>
    <n v="35"/>
    <n v="44086"/>
    <n v="1742366"/>
    <n v="0.10299999999999999"/>
    <n v="25"/>
    <x v="26"/>
    <n v="2"/>
    <n v="19332"/>
    <x v="1"/>
    <n v="0.43850655536905142"/>
    <x v="1"/>
  </r>
  <r>
    <n v="28"/>
    <s v="CLIENT_28"/>
    <n v="26"/>
    <n v="71076"/>
    <n v="1492349"/>
    <n v="8.3000000000000004E-2"/>
    <n v="20"/>
    <x v="27"/>
    <n v="5"/>
    <n v="7367"/>
    <x v="1"/>
    <n v="0.10364961449715797"/>
    <x v="1"/>
  </r>
  <r>
    <n v="29"/>
    <s v="CLIENT_29"/>
    <n v="31"/>
    <n v="80285"/>
    <n v="1144324"/>
    <n v="9.0999999999999998E-2"/>
    <n v="20"/>
    <x v="28"/>
    <n v="1"/>
    <n v="41964"/>
    <x v="2"/>
    <n v="0.52268792426978883"/>
    <x v="3"/>
  </r>
  <r>
    <n v="30"/>
    <s v="CLIENT_30"/>
    <n v="57"/>
    <n v="114181"/>
    <n v="1240637"/>
    <n v="8.2000000000000003E-2"/>
    <n v="30"/>
    <x v="29"/>
    <n v="3"/>
    <n v="7781"/>
    <x v="1"/>
    <n v="6.8146188945621425E-2"/>
    <x v="1"/>
  </r>
  <r>
    <n v="31"/>
    <s v="CLIENT_31"/>
    <n v="65"/>
    <n v="28789"/>
    <n v="882937"/>
    <n v="9.7000000000000003E-2"/>
    <n v="30"/>
    <x v="30"/>
    <n v="11"/>
    <n v="24501"/>
    <x v="1"/>
    <n v="0.85105422209871828"/>
    <x v="1"/>
  </r>
  <r>
    <n v="32"/>
    <s v="CLIENT_32"/>
    <n v="47"/>
    <n v="15153"/>
    <n v="1147576"/>
    <n v="0.09"/>
    <n v="30"/>
    <x v="31"/>
    <n v="2"/>
    <n v="40668"/>
    <x v="1"/>
    <n v="2.6838249851514551"/>
    <x v="1"/>
  </r>
  <r>
    <n v="33"/>
    <s v="CLIENT_33"/>
    <n v="32"/>
    <n v="47019"/>
    <n v="940945"/>
    <n v="9.1999999999999998E-2"/>
    <n v="20"/>
    <x v="32"/>
    <n v="1"/>
    <n v="41718"/>
    <x v="2"/>
    <n v="0.88725834237223256"/>
    <x v="5"/>
  </r>
  <r>
    <n v="34"/>
    <s v="CLIENT_34"/>
    <n v="46"/>
    <n v="86476"/>
    <n v="2376527"/>
    <n v="0.108"/>
    <n v="25"/>
    <x v="33"/>
    <n v="5"/>
    <n v="45754"/>
    <x v="2"/>
    <n v="0.52909477774180125"/>
    <x v="3"/>
  </r>
  <r>
    <n v="35"/>
    <s v="CLIENT_35"/>
    <n v="53"/>
    <n v="59793"/>
    <n v="581141"/>
    <n v="8.1000000000000003E-2"/>
    <n v="10"/>
    <x v="34"/>
    <n v="12"/>
    <n v="7047"/>
    <x v="0"/>
    <n v="0.11785660528824445"/>
    <x v="4"/>
  </r>
  <r>
    <n v="36"/>
    <s v="CLIENT_36"/>
    <n v="58"/>
    <n v="18124"/>
    <n v="2329885"/>
    <n v="0.114"/>
    <n v="30"/>
    <x v="35"/>
    <n v="1"/>
    <n v="22707"/>
    <x v="2"/>
    <n v="1.2528691238137277"/>
    <x v="3"/>
  </r>
  <r>
    <n v="37"/>
    <s v="CLIENT_37"/>
    <n v="21"/>
    <n v="77097"/>
    <n v="987501"/>
    <n v="0.10100000000000001"/>
    <n v="25"/>
    <x v="36"/>
    <n v="0"/>
    <n v="2625"/>
    <x v="1"/>
    <n v="3.4048017432584926E-2"/>
    <x v="2"/>
  </r>
  <r>
    <n v="38"/>
    <s v="CLIENT_38"/>
    <n v="22"/>
    <n v="54288"/>
    <n v="2167187"/>
    <n v="0.11"/>
    <n v="10"/>
    <x v="37"/>
    <n v="4"/>
    <n v="40677"/>
    <x v="1"/>
    <n v="0.74928160919540232"/>
    <x v="2"/>
  </r>
  <r>
    <n v="39"/>
    <s v="CLIENT_39"/>
    <n v="53"/>
    <n v="115458"/>
    <n v="1926666"/>
    <n v="0.12"/>
    <n v="30"/>
    <x v="38"/>
    <n v="2"/>
    <n v="37356"/>
    <x v="2"/>
    <n v="0.32354622460115368"/>
    <x v="3"/>
  </r>
  <r>
    <n v="40"/>
    <s v="CLIENT_40"/>
    <n v="35"/>
    <n v="99914"/>
    <n v="557580"/>
    <n v="9.1999999999999998E-2"/>
    <n v="25"/>
    <x v="39"/>
    <n v="14"/>
    <n v="44658"/>
    <x v="2"/>
    <n v="0.44696438937486238"/>
    <x v="3"/>
  </r>
  <r>
    <n v="41"/>
    <s v="CLIENT_41"/>
    <n v="59"/>
    <n v="39173"/>
    <n v="2330942"/>
    <n v="9.1999999999999998E-2"/>
    <n v="15"/>
    <x v="2"/>
    <n v="15"/>
    <n v="49175"/>
    <x v="1"/>
    <n v="1.2553289255354454"/>
    <x v="1"/>
  </r>
  <r>
    <n v="42"/>
    <s v="CLIENT_42"/>
    <n v="38"/>
    <n v="102549"/>
    <n v="1821899"/>
    <n v="0.111"/>
    <n v="15"/>
    <x v="2"/>
    <n v="2"/>
    <n v="7027"/>
    <x v="1"/>
    <n v="6.8523340061824103E-2"/>
    <x v="1"/>
  </r>
  <r>
    <n v="43"/>
    <s v="CLIENT_43"/>
    <n v="45"/>
    <n v="47771"/>
    <n v="1011585"/>
    <n v="0.11"/>
    <n v="20"/>
    <x v="40"/>
    <n v="14"/>
    <n v="43163"/>
    <x v="1"/>
    <n v="0.90353980448389193"/>
    <x v="1"/>
  </r>
  <r>
    <n v="44"/>
    <s v="CLIENT_44"/>
    <n v="32"/>
    <n v="91436"/>
    <n v="2294336"/>
    <n v="9.6000000000000002E-2"/>
    <n v="30"/>
    <x v="41"/>
    <n v="12"/>
    <n v="16986"/>
    <x v="2"/>
    <n v="0.18576928124589878"/>
    <x v="3"/>
  </r>
  <r>
    <n v="45"/>
    <s v="CLIENT_45"/>
    <n v="30"/>
    <n v="107925"/>
    <n v="1825789"/>
    <n v="9.2999999999999999E-2"/>
    <n v="25"/>
    <x v="42"/>
    <n v="3"/>
    <n v="15264"/>
    <x v="2"/>
    <n v="0.14143154968728283"/>
    <x v="3"/>
  </r>
  <r>
    <n v="46"/>
    <s v="CLIENT_46"/>
    <n v="62"/>
    <n v="37708"/>
    <n v="1823136"/>
    <n v="0.11600000000000001"/>
    <n v="25"/>
    <x v="15"/>
    <n v="4"/>
    <n v="10154"/>
    <x v="2"/>
    <n v="0.26927972843958842"/>
    <x v="5"/>
  </r>
  <r>
    <n v="47"/>
    <s v="CLIENT_47"/>
    <n v="32"/>
    <n v="102628"/>
    <n v="2373556"/>
    <n v="8.5000000000000006E-2"/>
    <n v="20"/>
    <x v="43"/>
    <n v="13"/>
    <n v="12710"/>
    <x v="0"/>
    <n v="0.12384534435046966"/>
    <x v="4"/>
  </r>
  <r>
    <n v="48"/>
    <s v="CLIENT_48"/>
    <n v="28"/>
    <n v="78757"/>
    <n v="1438762"/>
    <n v="0.105"/>
    <n v="15"/>
    <x v="44"/>
    <n v="14"/>
    <n v="36864"/>
    <x v="1"/>
    <n v="0.46807267925390761"/>
    <x v="1"/>
  </r>
  <r>
    <n v="49"/>
    <s v="CLIENT_49"/>
    <n v="31"/>
    <n v="89164"/>
    <n v="1602187"/>
    <n v="0.11"/>
    <n v="10"/>
    <x v="45"/>
    <n v="0"/>
    <n v="40157"/>
    <x v="2"/>
    <n v="0.45037234758422684"/>
    <x v="3"/>
  </r>
  <r>
    <n v="50"/>
    <s v="CLIENT_50"/>
    <n v="29"/>
    <n v="77072"/>
    <n v="1270634"/>
    <n v="0.1"/>
    <n v="25"/>
    <x v="42"/>
    <n v="8"/>
    <n v="8509"/>
    <x v="0"/>
    <n v="0.11040325929001453"/>
    <x v="4"/>
  </r>
  <r>
    <n v="51"/>
    <s v="CLIENT_51"/>
    <n v="64"/>
    <n v="60014"/>
    <n v="1684806"/>
    <n v="0.09"/>
    <n v="30"/>
    <x v="46"/>
    <n v="6"/>
    <n v="23404"/>
    <x v="1"/>
    <n v="0.38997567234311992"/>
    <x v="1"/>
  </r>
  <r>
    <n v="52"/>
    <s v="CLIENT_52"/>
    <n v="54"/>
    <n v="116837"/>
    <n v="2113347"/>
    <n v="8.7999999999999995E-2"/>
    <n v="20"/>
    <x v="47"/>
    <n v="11"/>
    <n v="40748"/>
    <x v="2"/>
    <n v="0.34875938272978596"/>
    <x v="3"/>
  </r>
  <r>
    <n v="53"/>
    <s v="CLIENT_53"/>
    <n v="30"/>
    <n v="34984"/>
    <n v="2391742"/>
    <n v="9.9000000000000005E-2"/>
    <n v="20"/>
    <x v="48"/>
    <n v="14"/>
    <n v="30513"/>
    <x v="2"/>
    <n v="0.87219871941458949"/>
    <x v="3"/>
  </r>
  <r>
    <n v="54"/>
    <s v="CLIENT_54"/>
    <n v="43"/>
    <n v="78404"/>
    <n v="2302554"/>
    <n v="0.10199999999999999"/>
    <n v="20"/>
    <x v="49"/>
    <n v="10"/>
    <n v="17503"/>
    <x v="1"/>
    <n v="0.22324116116524667"/>
    <x v="1"/>
  </r>
  <r>
    <n v="55"/>
    <s v="CLIENT_55"/>
    <n v="43"/>
    <n v="93430"/>
    <n v="2359664"/>
    <n v="9.0999999999999998E-2"/>
    <n v="10"/>
    <x v="50"/>
    <n v="13"/>
    <n v="4080"/>
    <x v="2"/>
    <n v="4.3669057048057368E-2"/>
    <x v="5"/>
  </r>
  <r>
    <n v="56"/>
    <s v="CLIENT_56"/>
    <n v="40"/>
    <n v="50557"/>
    <n v="685148"/>
    <n v="8.5999999999999993E-2"/>
    <n v="25"/>
    <x v="51"/>
    <n v="7"/>
    <n v="29903"/>
    <x v="2"/>
    <n v="0.59147101291611448"/>
    <x v="3"/>
  </r>
  <r>
    <n v="57"/>
    <s v="CLIENT_57"/>
    <n v="23"/>
    <n v="37720"/>
    <n v="1206997"/>
    <n v="0.106"/>
    <n v="25"/>
    <x v="52"/>
    <n v="6"/>
    <n v="16814"/>
    <x v="1"/>
    <n v="0.44575821845174973"/>
    <x v="2"/>
  </r>
  <r>
    <n v="58"/>
    <s v="CLIENT_58"/>
    <n v="61"/>
    <n v="17295"/>
    <n v="1174637"/>
    <n v="0.10199999999999999"/>
    <n v="30"/>
    <x v="53"/>
    <n v="1"/>
    <n v="146"/>
    <x v="2"/>
    <n v="8.4417461694131259E-3"/>
    <x v="3"/>
  </r>
  <r>
    <n v="59"/>
    <s v="CLIENT_59"/>
    <n v="56"/>
    <n v="99712"/>
    <n v="1006085"/>
    <n v="0.10199999999999999"/>
    <n v="20"/>
    <x v="54"/>
    <n v="13"/>
    <n v="1584"/>
    <x v="0"/>
    <n v="1.5885750962772786E-2"/>
    <x v="4"/>
  </r>
  <r>
    <n v="60"/>
    <s v="CLIENT_60"/>
    <n v="31"/>
    <n v="46561"/>
    <n v="1255700"/>
    <n v="0.107"/>
    <n v="10"/>
    <x v="55"/>
    <n v="6"/>
    <n v="10226"/>
    <x v="1"/>
    <n v="0.21962586714202872"/>
    <x v="1"/>
  </r>
  <r>
    <n v="61"/>
    <s v="CLIENT_61"/>
    <n v="49"/>
    <n v="107721"/>
    <n v="500790"/>
    <n v="0.108"/>
    <n v="25"/>
    <x v="56"/>
    <n v="3"/>
    <n v="33580"/>
    <x v="2"/>
    <n v="0.31173123160757882"/>
    <x v="3"/>
  </r>
  <r>
    <n v="62"/>
    <s v="CLIENT_62"/>
    <n v="47"/>
    <n v="57868"/>
    <n v="1600456"/>
    <n v="9.1999999999999998E-2"/>
    <n v="15"/>
    <x v="57"/>
    <n v="13"/>
    <n v="46707"/>
    <x v="2"/>
    <n v="0.80713002004562107"/>
    <x v="3"/>
  </r>
  <r>
    <n v="63"/>
    <s v="CLIENT_63"/>
    <n v="40"/>
    <n v="46262"/>
    <n v="1179222"/>
    <n v="0.08"/>
    <n v="20"/>
    <x v="58"/>
    <n v="10"/>
    <n v="39585"/>
    <x v="2"/>
    <n v="0.85566988024728718"/>
    <x v="5"/>
  </r>
  <r>
    <n v="64"/>
    <s v="CLIENT_64"/>
    <n v="36"/>
    <n v="41938"/>
    <n v="1397889"/>
    <n v="9.5000000000000001E-2"/>
    <n v="20"/>
    <x v="59"/>
    <n v="2"/>
    <n v="44158"/>
    <x v="1"/>
    <n v="1.0529352854213363"/>
    <x v="1"/>
  </r>
  <r>
    <n v="65"/>
    <s v="CLIENT_65"/>
    <n v="56"/>
    <n v="53714"/>
    <n v="1862434"/>
    <n v="0.108"/>
    <n v="20"/>
    <x v="60"/>
    <n v="7"/>
    <n v="12082"/>
    <x v="0"/>
    <n v="0.22493204751089102"/>
    <x v="4"/>
  </r>
  <r>
    <n v="66"/>
    <s v="CLIENT_66"/>
    <n v="59"/>
    <n v="41091"/>
    <n v="1553060"/>
    <n v="9.1999999999999998E-2"/>
    <n v="30"/>
    <x v="16"/>
    <n v="0"/>
    <n v="31711"/>
    <x v="1"/>
    <n v="0.77172616874741429"/>
    <x v="1"/>
  </r>
  <r>
    <n v="67"/>
    <s v="CLIENT_67"/>
    <n v="46"/>
    <n v="96709"/>
    <n v="1849070"/>
    <n v="0.111"/>
    <n v="25"/>
    <x v="61"/>
    <n v="15"/>
    <n v="22643"/>
    <x v="2"/>
    <n v="0.23413539587835672"/>
    <x v="3"/>
  </r>
  <r>
    <n v="68"/>
    <s v="CLIENT_68"/>
    <n v="30"/>
    <n v="81800"/>
    <n v="2398755"/>
    <n v="0.10199999999999999"/>
    <n v="20"/>
    <x v="62"/>
    <n v="0"/>
    <n v="7100"/>
    <x v="2"/>
    <n v="8.6797066014669924E-2"/>
    <x v="3"/>
  </r>
  <r>
    <n v="69"/>
    <s v="CLIENT_69"/>
    <n v="61"/>
    <n v="73199"/>
    <n v="2093274"/>
    <n v="0.09"/>
    <n v="10"/>
    <x v="63"/>
    <n v="10"/>
    <n v="7050"/>
    <x v="2"/>
    <n v="9.6312791158349162E-2"/>
    <x v="5"/>
  </r>
  <r>
    <n v="70"/>
    <s v="CLIENT_70"/>
    <n v="32"/>
    <n v="72631"/>
    <n v="1012162"/>
    <n v="9.8000000000000004E-2"/>
    <n v="10"/>
    <x v="64"/>
    <n v="5"/>
    <n v="21958"/>
    <x v="2"/>
    <n v="0.30232269967369307"/>
    <x v="3"/>
  </r>
  <r>
    <n v="71"/>
    <s v="CLIENT_71"/>
    <n v="20"/>
    <n v="43868"/>
    <n v="2198371"/>
    <n v="8.6999999999999994E-2"/>
    <n v="20"/>
    <x v="39"/>
    <n v="9"/>
    <n v="2027"/>
    <x v="1"/>
    <n v="4.6206802224856389E-2"/>
    <x v="2"/>
  </r>
  <r>
    <n v="72"/>
    <s v="CLIENT_72"/>
    <n v="60"/>
    <n v="54086"/>
    <n v="923759"/>
    <n v="9.1999999999999998E-2"/>
    <n v="20"/>
    <x v="65"/>
    <n v="12"/>
    <n v="1884"/>
    <x v="1"/>
    <n v="3.4833413452649481E-2"/>
    <x v="1"/>
  </r>
  <r>
    <n v="73"/>
    <s v="CLIENT_73"/>
    <n v="48"/>
    <n v="118995"/>
    <n v="2460956"/>
    <n v="9.6000000000000002E-2"/>
    <n v="10"/>
    <x v="54"/>
    <n v="12"/>
    <n v="14662"/>
    <x v="0"/>
    <n v="0.12321526114542627"/>
    <x v="4"/>
  </r>
  <r>
    <n v="74"/>
    <s v="CLIENT_74"/>
    <n v="39"/>
    <n v="81348"/>
    <n v="1345887"/>
    <n v="9.4E-2"/>
    <n v="30"/>
    <x v="66"/>
    <n v="3"/>
    <n v="16833"/>
    <x v="2"/>
    <n v="0.2069258002655259"/>
    <x v="3"/>
  </r>
  <r>
    <n v="75"/>
    <s v="CLIENT_75"/>
    <n v="59"/>
    <n v="95027"/>
    <n v="2292112"/>
    <n v="9.9000000000000005E-2"/>
    <n v="10"/>
    <x v="67"/>
    <n v="7"/>
    <n v="24811"/>
    <x v="2"/>
    <n v="0.26109421532827515"/>
    <x v="3"/>
  </r>
  <r>
    <n v="76"/>
    <s v="CLIENT_76"/>
    <n v="52"/>
    <n v="89805"/>
    <n v="1178667"/>
    <n v="0.11600000000000001"/>
    <n v="20"/>
    <x v="68"/>
    <n v="2"/>
    <n v="11956"/>
    <x v="1"/>
    <n v="0.13313289905907244"/>
    <x v="1"/>
  </r>
  <r>
    <n v="77"/>
    <s v="CLIENT_77"/>
    <n v="50"/>
    <n v="56757"/>
    <n v="1572035"/>
    <n v="9.8000000000000004E-2"/>
    <n v="30"/>
    <x v="19"/>
    <n v="4"/>
    <n v="7099"/>
    <x v="0"/>
    <n v="0.1250770830029776"/>
    <x v="4"/>
  </r>
  <r>
    <n v="78"/>
    <s v="CLIENT_78"/>
    <n v="24"/>
    <n v="41094"/>
    <n v="583921"/>
    <n v="9.6000000000000002E-2"/>
    <n v="15"/>
    <x v="69"/>
    <n v="15"/>
    <n v="19926"/>
    <x v="1"/>
    <n v="0.48488830486202367"/>
    <x v="2"/>
  </r>
  <r>
    <n v="79"/>
    <s v="CLIENT_79"/>
    <n v="52"/>
    <n v="54331"/>
    <n v="1965705"/>
    <n v="8.7999999999999995E-2"/>
    <n v="20"/>
    <x v="24"/>
    <n v="6"/>
    <n v="37941"/>
    <x v="2"/>
    <n v="0.69833060315473672"/>
    <x v="5"/>
  </r>
  <r>
    <n v="80"/>
    <s v="CLIENT_80"/>
    <n v="64"/>
    <n v="27622"/>
    <n v="1516552"/>
    <n v="0.10100000000000001"/>
    <n v="25"/>
    <x v="59"/>
    <n v="2"/>
    <n v="32637"/>
    <x v="1"/>
    <n v="1.1815581782637028"/>
    <x v="1"/>
  </r>
  <r>
    <n v="81"/>
    <s v="CLIENT_81"/>
    <n v="60"/>
    <n v="41436"/>
    <n v="985000"/>
    <n v="9.2999999999999999E-2"/>
    <n v="15"/>
    <x v="70"/>
    <n v="6"/>
    <n v="30865"/>
    <x v="2"/>
    <n v="0.74488367603050487"/>
    <x v="3"/>
  </r>
  <r>
    <n v="82"/>
    <s v="CLIENT_82"/>
    <n v="21"/>
    <n v="87152"/>
    <n v="2226421"/>
    <n v="0.11"/>
    <n v="15"/>
    <x v="2"/>
    <n v="1"/>
    <n v="2783"/>
    <x v="1"/>
    <n v="3.1932715256104277E-2"/>
    <x v="2"/>
  </r>
  <r>
    <n v="83"/>
    <s v="CLIENT_83"/>
    <n v="36"/>
    <n v="100052"/>
    <n v="2190516"/>
    <n v="0.104"/>
    <n v="20"/>
    <x v="71"/>
    <n v="5"/>
    <n v="28604"/>
    <x v="2"/>
    <n v="0.28589133650501741"/>
    <x v="5"/>
  </r>
  <r>
    <n v="84"/>
    <s v="CLIENT_84"/>
    <n v="20"/>
    <n v="50521"/>
    <n v="2115509"/>
    <n v="0.106"/>
    <n v="20"/>
    <x v="72"/>
    <n v="12"/>
    <n v="32788"/>
    <x v="1"/>
    <n v="0.64899744660636172"/>
    <x v="2"/>
  </r>
  <r>
    <n v="85"/>
    <s v="CLIENT_85"/>
    <n v="62"/>
    <n v="115457"/>
    <n v="1173697"/>
    <n v="9.8000000000000004E-2"/>
    <n v="20"/>
    <x v="65"/>
    <n v="3"/>
    <n v="32365"/>
    <x v="1"/>
    <n v="0.28032081207722354"/>
    <x v="1"/>
  </r>
  <r>
    <n v="86"/>
    <s v="CLIENT_86"/>
    <n v="46"/>
    <n v="66814"/>
    <n v="1967157"/>
    <n v="0.113"/>
    <n v="30"/>
    <x v="73"/>
    <n v="1"/>
    <n v="19320"/>
    <x v="2"/>
    <n v="0.28916095429101685"/>
    <x v="3"/>
  </r>
  <r>
    <n v="87"/>
    <s v="CLIENT_87"/>
    <n v="62"/>
    <n v="116403"/>
    <n v="1674478"/>
    <n v="0.114"/>
    <n v="10"/>
    <x v="74"/>
    <n v="8"/>
    <n v="12124"/>
    <x v="0"/>
    <n v="0.10415539118407602"/>
    <x v="0"/>
  </r>
  <r>
    <n v="88"/>
    <s v="CLIENT_88"/>
    <n v="43"/>
    <n v="101326"/>
    <n v="1419496"/>
    <n v="9.6000000000000002E-2"/>
    <n v="15"/>
    <x v="75"/>
    <n v="9"/>
    <n v="39078"/>
    <x v="2"/>
    <n v="0.38566606793912717"/>
    <x v="5"/>
  </r>
  <r>
    <n v="89"/>
    <s v="CLIENT_89"/>
    <n v="26"/>
    <n v="108809"/>
    <n v="1701969"/>
    <n v="0.09"/>
    <n v="25"/>
    <x v="76"/>
    <n v="15"/>
    <n v="45290"/>
    <x v="2"/>
    <n v="0.41623395123565149"/>
    <x v="3"/>
  </r>
  <r>
    <n v="90"/>
    <s v="CLIENT_90"/>
    <n v="37"/>
    <n v="70495"/>
    <n v="2351748"/>
    <n v="0.11600000000000001"/>
    <n v="25"/>
    <x v="21"/>
    <n v="13"/>
    <n v="21312"/>
    <x v="2"/>
    <n v="0.30231931342648416"/>
    <x v="3"/>
  </r>
  <r>
    <n v="91"/>
    <s v="CLIENT_91"/>
    <n v="37"/>
    <n v="103670"/>
    <n v="2098642"/>
    <n v="8.5999999999999993E-2"/>
    <n v="30"/>
    <x v="48"/>
    <n v="2"/>
    <n v="10418"/>
    <x v="0"/>
    <n v="0.10049194559660461"/>
    <x v="4"/>
  </r>
  <r>
    <n v="92"/>
    <s v="CLIENT_92"/>
    <n v="52"/>
    <n v="72140"/>
    <n v="565222"/>
    <n v="0.11899999999999999"/>
    <n v="25"/>
    <x v="77"/>
    <n v="4"/>
    <n v="13777"/>
    <x v="1"/>
    <n v="0.19097588023288051"/>
    <x v="1"/>
  </r>
  <r>
    <n v="93"/>
    <s v="CLIENT_93"/>
    <n v="59"/>
    <n v="36492"/>
    <n v="2416532"/>
    <n v="0.109"/>
    <n v="10"/>
    <x v="45"/>
    <n v="11"/>
    <n v="46987"/>
    <x v="2"/>
    <n v="1.2875972815959662"/>
    <x v="3"/>
  </r>
  <r>
    <n v="94"/>
    <s v="CLIENT_94"/>
    <n v="65"/>
    <n v="77459"/>
    <n v="1377173"/>
    <n v="0.112"/>
    <n v="15"/>
    <x v="78"/>
    <n v="7"/>
    <n v="38834"/>
    <x v="2"/>
    <n v="0.50134910081462447"/>
    <x v="3"/>
  </r>
  <r>
    <n v="95"/>
    <s v="CLIENT_95"/>
    <n v="43"/>
    <n v="36166"/>
    <n v="1336419"/>
    <n v="9.9000000000000005E-2"/>
    <n v="10"/>
    <x v="79"/>
    <n v="11"/>
    <n v="44547"/>
    <x v="2"/>
    <n v="1.2317369905436044"/>
    <x v="3"/>
  </r>
  <r>
    <n v="96"/>
    <s v="CLIENT_96"/>
    <n v="43"/>
    <n v="15582"/>
    <n v="972610"/>
    <n v="8.5999999999999993E-2"/>
    <n v="15"/>
    <x v="80"/>
    <n v="15"/>
    <n v="39203"/>
    <x v="2"/>
    <n v="2.5159158002823769"/>
    <x v="5"/>
  </r>
  <r>
    <n v="97"/>
    <s v="CLIENT_97"/>
    <n v="34"/>
    <n v="92634"/>
    <n v="1239094"/>
    <n v="0.12"/>
    <n v="15"/>
    <x v="81"/>
    <n v="11"/>
    <n v="21809"/>
    <x v="2"/>
    <n v="0.23543191484768011"/>
    <x v="3"/>
  </r>
  <r>
    <n v="98"/>
    <s v="CLIENT_98"/>
    <n v="36"/>
    <n v="65888"/>
    <n v="976290"/>
    <n v="0.10199999999999999"/>
    <n v="25"/>
    <x v="82"/>
    <n v="4"/>
    <n v="22329"/>
    <x v="2"/>
    <n v="0.33889327343370568"/>
    <x v="3"/>
  </r>
  <r>
    <n v="99"/>
    <s v="CLIENT_99"/>
    <n v="54"/>
    <n v="31983"/>
    <n v="847438"/>
    <n v="0.11600000000000001"/>
    <n v="10"/>
    <x v="83"/>
    <n v="4"/>
    <n v="5275"/>
    <x v="0"/>
    <n v="0.16493136979020104"/>
    <x v="4"/>
  </r>
  <r>
    <n v="100"/>
    <s v="CLIENT_100"/>
    <n v="45"/>
    <n v="71713"/>
    <n v="2275634"/>
    <n v="0.113"/>
    <n v="10"/>
    <x v="84"/>
    <n v="9"/>
    <n v="6123"/>
    <x v="0"/>
    <n v="8.5382008840795956E-2"/>
    <x v="4"/>
  </r>
  <r>
    <n v="101"/>
    <s v="CLIENT_101"/>
    <n v="60"/>
    <n v="59020"/>
    <n v="814123"/>
    <n v="9.8000000000000004E-2"/>
    <n v="30"/>
    <x v="85"/>
    <n v="5"/>
    <n v="9616"/>
    <x v="0"/>
    <n v="0.16292782107760082"/>
    <x v="4"/>
  </r>
  <r>
    <n v="102"/>
    <s v="CLIENT_102"/>
    <n v="64"/>
    <n v="21514"/>
    <n v="1451260"/>
    <n v="0.1"/>
    <n v="20"/>
    <x v="13"/>
    <n v="6"/>
    <n v="19961"/>
    <x v="1"/>
    <n v="0.92781444640699084"/>
    <x v="1"/>
  </r>
  <r>
    <n v="103"/>
    <s v="CLIENT_103"/>
    <n v="58"/>
    <n v="66708"/>
    <n v="1901123"/>
    <n v="9.7000000000000003E-2"/>
    <n v="15"/>
    <x v="86"/>
    <n v="3"/>
    <n v="22075"/>
    <x v="2"/>
    <n v="0.33091982970558254"/>
    <x v="3"/>
  </r>
  <r>
    <n v="104"/>
    <s v="CLIENT_104"/>
    <n v="31"/>
    <n v="99924"/>
    <n v="1859579"/>
    <n v="9.4E-2"/>
    <n v="10"/>
    <x v="84"/>
    <n v="1"/>
    <n v="1757"/>
    <x v="2"/>
    <n v="1.7583363356150676E-2"/>
    <x v="3"/>
  </r>
  <r>
    <n v="105"/>
    <s v="CLIENT_105"/>
    <n v="37"/>
    <n v="86399"/>
    <n v="1725391"/>
    <n v="0.11600000000000001"/>
    <n v="25"/>
    <x v="87"/>
    <n v="9"/>
    <n v="22614"/>
    <x v="2"/>
    <n v="0.26173914049931135"/>
    <x v="3"/>
  </r>
  <r>
    <n v="106"/>
    <s v="CLIENT_106"/>
    <n v="59"/>
    <n v="88889"/>
    <n v="2004169"/>
    <n v="0.11700000000000001"/>
    <n v="25"/>
    <x v="56"/>
    <n v="14"/>
    <n v="7581"/>
    <x v="0"/>
    <n v="8.5286143392320754E-2"/>
    <x v="4"/>
  </r>
  <r>
    <n v="107"/>
    <s v="CLIENT_107"/>
    <n v="49"/>
    <n v="92690"/>
    <n v="986301"/>
    <n v="9.7000000000000003E-2"/>
    <n v="30"/>
    <x v="88"/>
    <n v="8"/>
    <n v="35530"/>
    <x v="2"/>
    <n v="0.38332074657460352"/>
    <x v="3"/>
  </r>
  <r>
    <n v="108"/>
    <s v="CLIENT_108"/>
    <n v="52"/>
    <n v="87131"/>
    <n v="866113"/>
    <n v="0.113"/>
    <n v="10"/>
    <x v="89"/>
    <n v="9"/>
    <n v="6523"/>
    <x v="0"/>
    <n v="7.4864284812523677E-2"/>
    <x v="4"/>
  </r>
  <r>
    <n v="109"/>
    <s v="CLIENT_109"/>
    <n v="21"/>
    <n v="52075"/>
    <n v="2283372"/>
    <n v="0.108"/>
    <n v="25"/>
    <x v="90"/>
    <n v="8"/>
    <n v="6377"/>
    <x v="1"/>
    <n v="0.12245799327892463"/>
    <x v="2"/>
  </r>
  <r>
    <n v="110"/>
    <s v="CLIENT_110"/>
    <n v="63"/>
    <n v="51321"/>
    <n v="618104"/>
    <n v="0.109"/>
    <n v="25"/>
    <x v="91"/>
    <n v="1"/>
    <n v="12575"/>
    <x v="1"/>
    <n v="0.24502640244734125"/>
    <x v="1"/>
  </r>
  <r>
    <n v="111"/>
    <s v="CLIENT_111"/>
    <n v="47"/>
    <n v="56807"/>
    <n v="1527226"/>
    <n v="9.6000000000000002E-2"/>
    <n v="30"/>
    <x v="92"/>
    <n v="0"/>
    <n v="1429"/>
    <x v="2"/>
    <n v="2.5155350572992764E-2"/>
    <x v="5"/>
  </r>
  <r>
    <n v="112"/>
    <s v="CLIENT_112"/>
    <n v="33"/>
    <n v="72853"/>
    <n v="1013356"/>
    <n v="0.11799999999999999"/>
    <n v="25"/>
    <x v="42"/>
    <n v="8"/>
    <n v="45002"/>
    <x v="2"/>
    <n v="0.61770963446941096"/>
    <x v="3"/>
  </r>
  <r>
    <n v="113"/>
    <s v="CLIENT_113"/>
    <n v="28"/>
    <n v="80079"/>
    <n v="627614"/>
    <n v="8.6999999999999994E-2"/>
    <n v="10"/>
    <x v="93"/>
    <n v="9"/>
    <n v="4531"/>
    <x v="0"/>
    <n v="5.6581625644675886E-2"/>
    <x v="4"/>
  </r>
  <r>
    <n v="114"/>
    <s v="CLIENT_114"/>
    <n v="52"/>
    <n v="89260"/>
    <n v="845248"/>
    <n v="9.0999999999999998E-2"/>
    <n v="20"/>
    <x v="93"/>
    <n v="4"/>
    <n v="10239"/>
    <x v="0"/>
    <n v="0.11470983643289268"/>
    <x v="4"/>
  </r>
  <r>
    <n v="115"/>
    <s v="CLIENT_115"/>
    <n v="51"/>
    <n v="76994"/>
    <n v="805323"/>
    <n v="8.5999999999999993E-2"/>
    <n v="10"/>
    <x v="94"/>
    <n v="8"/>
    <n v="11596"/>
    <x v="1"/>
    <n v="0.15060913837441878"/>
    <x v="1"/>
  </r>
  <r>
    <n v="116"/>
    <s v="CLIENT_116"/>
    <n v="49"/>
    <n v="109519"/>
    <n v="1551762"/>
    <n v="9.9000000000000005E-2"/>
    <n v="20"/>
    <x v="95"/>
    <n v="13"/>
    <n v="19189"/>
    <x v="2"/>
    <n v="0.17521160711839956"/>
    <x v="5"/>
  </r>
  <r>
    <n v="117"/>
    <s v="CLIENT_117"/>
    <n v="46"/>
    <n v="76574"/>
    <n v="785619"/>
    <n v="0.108"/>
    <n v="25"/>
    <x v="96"/>
    <n v="13"/>
    <n v="30212"/>
    <x v="2"/>
    <n v="0.39454645179826053"/>
    <x v="3"/>
  </r>
  <r>
    <n v="118"/>
    <s v="CLIENT_118"/>
    <n v="43"/>
    <n v="62041"/>
    <n v="1253589"/>
    <n v="8.2000000000000003E-2"/>
    <n v="15"/>
    <x v="37"/>
    <n v="8"/>
    <n v="14809"/>
    <x v="0"/>
    <n v="0.23869699069969857"/>
    <x v="4"/>
  </r>
  <r>
    <n v="119"/>
    <s v="CLIENT_119"/>
    <n v="44"/>
    <n v="99950"/>
    <n v="701560"/>
    <n v="0.114"/>
    <n v="20"/>
    <x v="84"/>
    <n v="12"/>
    <n v="27352"/>
    <x v="2"/>
    <n v="0.27365682841420708"/>
    <x v="3"/>
  </r>
  <r>
    <n v="120"/>
    <s v="CLIENT_120"/>
    <n v="60"/>
    <n v="34626"/>
    <n v="925770"/>
    <n v="0.104"/>
    <n v="30"/>
    <x v="97"/>
    <n v="4"/>
    <n v="14551"/>
    <x v="0"/>
    <n v="0.42023335066135276"/>
    <x v="4"/>
  </r>
  <r>
    <n v="121"/>
    <s v="CLIENT_121"/>
    <n v="23"/>
    <n v="22233"/>
    <n v="1921837"/>
    <n v="0.1"/>
    <n v="30"/>
    <x v="98"/>
    <n v="7"/>
    <n v="46731"/>
    <x v="1"/>
    <n v="2.1018755903386857"/>
    <x v="2"/>
  </r>
  <r>
    <n v="122"/>
    <s v="CLIENT_122"/>
    <n v="50"/>
    <n v="71761"/>
    <n v="1076975"/>
    <n v="0.108"/>
    <n v="30"/>
    <x v="68"/>
    <n v="5"/>
    <n v="41932"/>
    <x v="1"/>
    <n v="0.58432853499811876"/>
    <x v="1"/>
  </r>
  <r>
    <n v="123"/>
    <s v="CLIENT_123"/>
    <n v="42"/>
    <n v="82173"/>
    <n v="1296405"/>
    <n v="9.6000000000000002E-2"/>
    <n v="25"/>
    <x v="99"/>
    <n v="3"/>
    <n v="48328"/>
    <x v="2"/>
    <n v="0.58812505324133235"/>
    <x v="3"/>
  </r>
  <r>
    <n v="124"/>
    <s v="CLIENT_124"/>
    <n v="46"/>
    <n v="67053"/>
    <n v="1833728"/>
    <n v="8.5999999999999993E-2"/>
    <n v="15"/>
    <x v="38"/>
    <n v="2"/>
    <n v="47138"/>
    <x v="2"/>
    <n v="0.70299613738386058"/>
    <x v="3"/>
  </r>
  <r>
    <n v="125"/>
    <s v="CLIENT_125"/>
    <n v="58"/>
    <n v="117742"/>
    <n v="1721234"/>
    <n v="0.09"/>
    <n v="10"/>
    <x v="76"/>
    <n v="9"/>
    <n v="26404"/>
    <x v="2"/>
    <n v="0.22425302780656012"/>
    <x v="3"/>
  </r>
  <r>
    <n v="126"/>
    <s v="CLIENT_126"/>
    <n v="25"/>
    <n v="89891"/>
    <n v="1043552"/>
    <n v="9.0999999999999998E-2"/>
    <n v="25"/>
    <x v="100"/>
    <n v="9"/>
    <n v="29730"/>
    <x v="1"/>
    <n v="0.33073388882090532"/>
    <x v="1"/>
  </r>
  <r>
    <n v="127"/>
    <s v="CLIENT_127"/>
    <n v="21"/>
    <n v="19662"/>
    <n v="1939237"/>
    <n v="8.5000000000000006E-2"/>
    <n v="15"/>
    <x v="68"/>
    <n v="8"/>
    <n v="28150"/>
    <x v="1"/>
    <n v="1.4316956565964805"/>
    <x v="2"/>
  </r>
  <r>
    <n v="128"/>
    <s v="CLIENT_128"/>
    <n v="25"/>
    <n v="119108"/>
    <n v="1562982"/>
    <n v="8.5000000000000006E-2"/>
    <n v="10"/>
    <x v="42"/>
    <n v="14"/>
    <n v="37807"/>
    <x v="2"/>
    <n v="0.31741780568895456"/>
    <x v="3"/>
  </r>
  <r>
    <n v="129"/>
    <s v="CLIENT_129"/>
    <n v="50"/>
    <n v="62929"/>
    <n v="2181322"/>
    <n v="0.105"/>
    <n v="20"/>
    <x v="101"/>
    <n v="13"/>
    <n v="35997"/>
    <x v="2"/>
    <n v="0.57202561617060499"/>
    <x v="3"/>
  </r>
  <r>
    <n v="130"/>
    <s v="CLIENT_130"/>
    <n v="45"/>
    <n v="104540"/>
    <n v="897042"/>
    <n v="0.10299999999999999"/>
    <n v="10"/>
    <x v="22"/>
    <n v="1"/>
    <n v="12966"/>
    <x v="1"/>
    <n v="0.12402907977807538"/>
    <x v="1"/>
  </r>
  <r>
    <n v="131"/>
    <s v="CLIENT_131"/>
    <n v="40"/>
    <n v="93469"/>
    <n v="1332329"/>
    <n v="0.1"/>
    <n v="10"/>
    <x v="102"/>
    <n v="12"/>
    <n v="24454"/>
    <x v="2"/>
    <n v="0.26162684954369897"/>
    <x v="3"/>
  </r>
  <r>
    <n v="132"/>
    <s v="CLIENT_132"/>
    <n v="46"/>
    <n v="67083"/>
    <n v="1725427"/>
    <n v="0.09"/>
    <n v="10"/>
    <x v="103"/>
    <n v="12"/>
    <n v="616"/>
    <x v="0"/>
    <n v="9.1826543237481933E-3"/>
    <x v="4"/>
  </r>
  <r>
    <n v="133"/>
    <s v="CLIENT_133"/>
    <n v="36"/>
    <n v="73122"/>
    <n v="2344366"/>
    <n v="8.6999999999999994E-2"/>
    <n v="15"/>
    <x v="90"/>
    <n v="6"/>
    <n v="24872"/>
    <x v="2"/>
    <n v="0.34014386915018735"/>
    <x v="3"/>
  </r>
  <r>
    <n v="134"/>
    <s v="CLIENT_134"/>
    <n v="55"/>
    <n v="83108"/>
    <n v="1297586"/>
    <n v="0.11600000000000001"/>
    <n v="10"/>
    <x v="62"/>
    <n v="13"/>
    <n v="20324"/>
    <x v="2"/>
    <n v="0.24454926120229101"/>
    <x v="3"/>
  </r>
  <r>
    <n v="135"/>
    <s v="CLIENT_135"/>
    <n v="27"/>
    <n v="98772"/>
    <n v="1756656"/>
    <n v="8.5999999999999993E-2"/>
    <n v="20"/>
    <x v="104"/>
    <n v="8"/>
    <n v="34863"/>
    <x v="2"/>
    <n v="0.35296440286720931"/>
    <x v="3"/>
  </r>
  <r>
    <n v="136"/>
    <s v="CLIENT_136"/>
    <n v="39"/>
    <n v="20071"/>
    <n v="896232"/>
    <n v="0.11"/>
    <n v="10"/>
    <x v="105"/>
    <n v="12"/>
    <n v="7"/>
    <x v="2"/>
    <n v="3.4876189527178515E-4"/>
    <x v="5"/>
  </r>
  <r>
    <n v="137"/>
    <s v="CLIENT_137"/>
    <n v="42"/>
    <n v="82993"/>
    <n v="1067689"/>
    <n v="9.6000000000000002E-2"/>
    <n v="10"/>
    <x v="106"/>
    <n v="14"/>
    <n v="11528"/>
    <x v="2"/>
    <n v="0.13890328099960236"/>
    <x v="5"/>
  </r>
  <r>
    <n v="138"/>
    <s v="CLIENT_138"/>
    <n v="56"/>
    <n v="47930"/>
    <n v="1771467"/>
    <n v="0.09"/>
    <n v="25"/>
    <x v="107"/>
    <n v="8"/>
    <n v="41944"/>
    <x v="2"/>
    <n v="0.87510953473815978"/>
    <x v="3"/>
  </r>
  <r>
    <n v="139"/>
    <s v="CLIENT_139"/>
    <n v="26"/>
    <n v="42978"/>
    <n v="862030"/>
    <n v="8.3000000000000004E-2"/>
    <n v="15"/>
    <x v="24"/>
    <n v="9"/>
    <n v="303"/>
    <x v="2"/>
    <n v="7.0501186653636741E-3"/>
    <x v="5"/>
  </r>
  <r>
    <n v="140"/>
    <s v="CLIENT_140"/>
    <n v="21"/>
    <n v="107104"/>
    <n v="2178152"/>
    <n v="8.3000000000000004E-2"/>
    <n v="10"/>
    <x v="108"/>
    <n v="1"/>
    <n v="42390"/>
    <x v="1"/>
    <n v="0.39578353749626533"/>
    <x v="2"/>
  </r>
  <r>
    <n v="141"/>
    <s v="CLIENT_141"/>
    <n v="53"/>
    <n v="54074"/>
    <n v="2453596"/>
    <n v="0.108"/>
    <n v="10"/>
    <x v="109"/>
    <n v="2"/>
    <n v="12798"/>
    <x v="0"/>
    <n v="0.23667566667899545"/>
    <x v="4"/>
  </r>
  <r>
    <n v="142"/>
    <s v="CLIENT_142"/>
    <n v="44"/>
    <n v="85141"/>
    <n v="1190375"/>
    <n v="0.105"/>
    <n v="30"/>
    <x v="110"/>
    <n v="1"/>
    <n v="3267"/>
    <x v="2"/>
    <n v="3.8371642334480448E-2"/>
    <x v="3"/>
  </r>
  <r>
    <n v="143"/>
    <s v="CLIENT_143"/>
    <n v="48"/>
    <n v="99875"/>
    <n v="2390383"/>
    <n v="9.8000000000000004E-2"/>
    <n v="25"/>
    <x v="111"/>
    <n v="9"/>
    <n v="24149"/>
    <x v="1"/>
    <n v="0.24179224030037547"/>
    <x v="1"/>
  </r>
  <r>
    <n v="144"/>
    <s v="CLIENT_144"/>
    <n v="22"/>
    <n v="78646"/>
    <n v="1214276"/>
    <n v="9.2999999999999999E-2"/>
    <n v="25"/>
    <x v="44"/>
    <n v="6"/>
    <n v="18775"/>
    <x v="1"/>
    <n v="0.23872797090761133"/>
    <x v="2"/>
  </r>
  <r>
    <n v="145"/>
    <s v="CLIENT_145"/>
    <n v="21"/>
    <n v="22086"/>
    <n v="947456"/>
    <n v="0.10100000000000001"/>
    <n v="10"/>
    <x v="112"/>
    <n v="3"/>
    <n v="36850"/>
    <x v="1"/>
    <n v="1.6684777687222676"/>
    <x v="2"/>
  </r>
  <r>
    <n v="146"/>
    <s v="CLIENT_146"/>
    <n v="61"/>
    <n v="108922"/>
    <n v="1508067"/>
    <n v="0.10199999999999999"/>
    <n v="15"/>
    <x v="36"/>
    <n v="10"/>
    <n v="29901"/>
    <x v="2"/>
    <n v="0.27451754466498962"/>
    <x v="3"/>
  </r>
  <r>
    <n v="147"/>
    <s v="CLIENT_147"/>
    <n v="55"/>
    <n v="105397"/>
    <n v="1728769"/>
    <n v="0.108"/>
    <n v="15"/>
    <x v="113"/>
    <n v="1"/>
    <n v="29438"/>
    <x v="2"/>
    <n v="0.27930586259570955"/>
    <x v="3"/>
  </r>
  <r>
    <n v="148"/>
    <s v="CLIENT_148"/>
    <n v="28"/>
    <n v="28543"/>
    <n v="1534254"/>
    <n v="8.5999999999999993E-2"/>
    <n v="20"/>
    <x v="105"/>
    <n v="7"/>
    <n v="37173"/>
    <x v="2"/>
    <n v="1.3023508390848895"/>
    <x v="5"/>
  </r>
  <r>
    <n v="149"/>
    <s v="CLIENT_149"/>
    <n v="25"/>
    <n v="49309"/>
    <n v="2237806"/>
    <n v="9.8000000000000004E-2"/>
    <n v="25"/>
    <x v="80"/>
    <n v="6"/>
    <n v="71"/>
    <x v="2"/>
    <n v="1.4398994098440447E-3"/>
    <x v="5"/>
  </r>
  <r>
    <n v="150"/>
    <s v="CLIENT_150"/>
    <n v="60"/>
    <n v="66183"/>
    <n v="2251253"/>
    <n v="9.8000000000000004E-2"/>
    <n v="30"/>
    <x v="114"/>
    <n v="14"/>
    <n v="6261"/>
    <x v="0"/>
    <n v="9.4601332668510035E-2"/>
    <x v="4"/>
  </r>
  <r>
    <n v="151"/>
    <s v="CLIENT_151"/>
    <n v="34"/>
    <n v="41040"/>
    <n v="2311648"/>
    <n v="0.09"/>
    <n v="30"/>
    <x v="78"/>
    <n v="12"/>
    <n v="19527"/>
    <x v="2"/>
    <n v="0.47580409356725145"/>
    <x v="3"/>
  </r>
  <r>
    <n v="152"/>
    <s v="CLIENT_152"/>
    <n v="57"/>
    <n v="67658"/>
    <n v="1114414"/>
    <n v="0.108"/>
    <n v="30"/>
    <x v="115"/>
    <n v="8"/>
    <n v="11256"/>
    <x v="0"/>
    <n v="0.16636613556416094"/>
    <x v="4"/>
  </r>
  <r>
    <n v="153"/>
    <s v="CLIENT_153"/>
    <n v="60"/>
    <n v="67384"/>
    <n v="1626078"/>
    <n v="9.7000000000000003E-2"/>
    <n v="20"/>
    <x v="116"/>
    <n v="8"/>
    <n v="379"/>
    <x v="0"/>
    <n v="5.6244805888638252E-3"/>
    <x v="4"/>
  </r>
  <r>
    <n v="154"/>
    <s v="CLIENT_154"/>
    <n v="43"/>
    <n v="20227"/>
    <n v="920891"/>
    <n v="8.3000000000000004E-2"/>
    <n v="15"/>
    <x v="91"/>
    <n v="13"/>
    <n v="40724"/>
    <x v="1"/>
    <n v="2.0133484945864439"/>
    <x v="1"/>
  </r>
  <r>
    <n v="155"/>
    <s v="CLIENT_155"/>
    <n v="24"/>
    <n v="53852"/>
    <n v="2340445"/>
    <n v="9.1999999999999998E-2"/>
    <n v="20"/>
    <x v="117"/>
    <n v="4"/>
    <n v="31286"/>
    <x v="1"/>
    <n v="0.58096263834212281"/>
    <x v="2"/>
  </r>
  <r>
    <n v="156"/>
    <s v="CLIENT_156"/>
    <n v="44"/>
    <n v="63869"/>
    <n v="883994"/>
    <n v="0.113"/>
    <n v="15"/>
    <x v="118"/>
    <n v="15"/>
    <n v="37401"/>
    <x v="2"/>
    <n v="0.58558925300223896"/>
    <x v="3"/>
  </r>
  <r>
    <n v="157"/>
    <s v="CLIENT_157"/>
    <n v="46"/>
    <n v="70406"/>
    <n v="1961890"/>
    <n v="9.2999999999999999E-2"/>
    <n v="10"/>
    <x v="114"/>
    <n v="9"/>
    <n v="22838"/>
    <x v="2"/>
    <n v="0.32437576342925317"/>
    <x v="3"/>
  </r>
  <r>
    <n v="158"/>
    <s v="CLIENT_158"/>
    <n v="43"/>
    <n v="49239"/>
    <n v="2090679"/>
    <n v="9.1999999999999998E-2"/>
    <n v="10"/>
    <x v="119"/>
    <n v="2"/>
    <n v="24349"/>
    <x v="2"/>
    <n v="0.49450638721338774"/>
    <x v="3"/>
  </r>
  <r>
    <n v="159"/>
    <s v="CLIENT_159"/>
    <n v="56"/>
    <n v="93992"/>
    <n v="1969235"/>
    <n v="8.7999999999999995E-2"/>
    <n v="30"/>
    <x v="120"/>
    <n v="9"/>
    <n v="29031"/>
    <x v="1"/>
    <n v="0.3088667120606009"/>
    <x v="1"/>
  </r>
  <r>
    <n v="160"/>
    <s v="CLIENT_160"/>
    <n v="40"/>
    <n v="74884"/>
    <n v="1770711"/>
    <n v="0.11"/>
    <n v="25"/>
    <x v="64"/>
    <n v="8"/>
    <n v="20267"/>
    <x v="2"/>
    <n v="0.27064526467603228"/>
    <x v="3"/>
  </r>
  <r>
    <n v="161"/>
    <s v="CLIENT_161"/>
    <n v="49"/>
    <n v="92698"/>
    <n v="1149128"/>
    <n v="8.4000000000000005E-2"/>
    <n v="30"/>
    <x v="121"/>
    <n v="10"/>
    <n v="16097"/>
    <x v="2"/>
    <n v="0.17364991693456169"/>
    <x v="5"/>
  </r>
  <r>
    <n v="162"/>
    <s v="CLIENT_162"/>
    <n v="24"/>
    <n v="51535"/>
    <n v="784390"/>
    <n v="0.109"/>
    <n v="20"/>
    <x v="76"/>
    <n v="6"/>
    <n v="43273"/>
    <x v="1"/>
    <n v="0.83968176967109731"/>
    <x v="2"/>
  </r>
  <r>
    <n v="163"/>
    <s v="CLIENT_163"/>
    <n v="50"/>
    <n v="114217"/>
    <n v="911189"/>
    <n v="8.4000000000000005E-2"/>
    <n v="10"/>
    <x v="58"/>
    <n v="9"/>
    <n v="1210"/>
    <x v="2"/>
    <n v="1.05938695640754E-2"/>
    <x v="5"/>
  </r>
  <r>
    <n v="164"/>
    <s v="CLIENT_164"/>
    <n v="33"/>
    <n v="102450"/>
    <n v="1561656"/>
    <n v="9.7000000000000003E-2"/>
    <n v="20"/>
    <x v="122"/>
    <n v="6"/>
    <n v="31896"/>
    <x v="2"/>
    <n v="0.3113323572474378"/>
    <x v="3"/>
  </r>
  <r>
    <n v="165"/>
    <s v="CLIENT_165"/>
    <n v="28"/>
    <n v="70535"/>
    <n v="1267767"/>
    <n v="0.113"/>
    <n v="20"/>
    <x v="123"/>
    <n v="14"/>
    <n v="40283"/>
    <x v="1"/>
    <n v="0.57110654285106688"/>
    <x v="1"/>
  </r>
  <r>
    <n v="166"/>
    <s v="CLIENT_166"/>
    <n v="30"/>
    <n v="109917"/>
    <n v="1885732"/>
    <n v="0.10199999999999999"/>
    <n v="25"/>
    <x v="124"/>
    <n v="3"/>
    <n v="15762"/>
    <x v="1"/>
    <n v="0.14339911023772484"/>
    <x v="1"/>
  </r>
  <r>
    <n v="167"/>
    <s v="CLIENT_167"/>
    <n v="40"/>
    <n v="102239"/>
    <n v="950237"/>
    <n v="0.11700000000000001"/>
    <n v="20"/>
    <x v="125"/>
    <n v="0"/>
    <n v="42838"/>
    <x v="2"/>
    <n v="0.41899862087852974"/>
    <x v="3"/>
  </r>
  <r>
    <n v="168"/>
    <s v="CLIENT_168"/>
    <n v="65"/>
    <n v="79264"/>
    <n v="1814693"/>
    <n v="0.10199999999999999"/>
    <n v="25"/>
    <x v="24"/>
    <n v="0"/>
    <n v="13597"/>
    <x v="2"/>
    <n v="0.1715406742026645"/>
    <x v="5"/>
  </r>
  <r>
    <n v="169"/>
    <s v="CLIENT_169"/>
    <n v="38"/>
    <n v="106153"/>
    <n v="2111484"/>
    <n v="9.4E-2"/>
    <n v="20"/>
    <x v="19"/>
    <n v="11"/>
    <n v="7823"/>
    <x v="0"/>
    <n v="7.3695514964249711E-2"/>
    <x v="4"/>
  </r>
  <r>
    <n v="170"/>
    <s v="CLIENT_170"/>
    <n v="60"/>
    <n v="96262"/>
    <n v="1473655"/>
    <n v="0.10100000000000001"/>
    <n v="15"/>
    <x v="126"/>
    <n v="5"/>
    <n v="8271"/>
    <x v="0"/>
    <n v="8.5921755209740089E-2"/>
    <x v="4"/>
  </r>
  <r>
    <n v="171"/>
    <s v="CLIENT_171"/>
    <n v="49"/>
    <n v="68071"/>
    <n v="1172106"/>
    <n v="8.5999999999999993E-2"/>
    <n v="10"/>
    <x v="38"/>
    <n v="2"/>
    <n v="31533"/>
    <x v="2"/>
    <n v="0.46323691439820186"/>
    <x v="3"/>
  </r>
  <r>
    <n v="172"/>
    <s v="CLIENT_172"/>
    <n v="49"/>
    <n v="77104"/>
    <n v="868446"/>
    <n v="9.0999999999999998E-2"/>
    <n v="30"/>
    <x v="127"/>
    <n v="13"/>
    <n v="35380"/>
    <x v="2"/>
    <n v="0.45886075949367089"/>
    <x v="3"/>
  </r>
  <r>
    <n v="173"/>
    <s v="CLIENT_173"/>
    <n v="38"/>
    <n v="22017"/>
    <n v="1101292"/>
    <n v="0.109"/>
    <n v="10"/>
    <x v="45"/>
    <n v="6"/>
    <n v="46652"/>
    <x v="2"/>
    <n v="2.1189081164554664"/>
    <x v="3"/>
  </r>
  <r>
    <n v="174"/>
    <s v="CLIENT_174"/>
    <n v="24"/>
    <n v="28650"/>
    <n v="1947684"/>
    <n v="8.7999999999999995E-2"/>
    <n v="20"/>
    <x v="44"/>
    <n v="8"/>
    <n v="35575"/>
    <x v="1"/>
    <n v="1.2417102966841187"/>
    <x v="2"/>
  </r>
  <r>
    <n v="175"/>
    <s v="CLIENT_175"/>
    <n v="62"/>
    <n v="91425"/>
    <n v="2260444"/>
    <n v="9.5000000000000001E-2"/>
    <n v="25"/>
    <x v="83"/>
    <n v="15"/>
    <n v="23192"/>
    <x v="2"/>
    <n v="0.25367240907847965"/>
    <x v="3"/>
  </r>
  <r>
    <n v="176"/>
    <s v="CLIENT_176"/>
    <n v="39"/>
    <n v="101029"/>
    <n v="1455241"/>
    <n v="9.0999999999999998E-2"/>
    <n v="30"/>
    <x v="128"/>
    <n v="4"/>
    <n v="8944"/>
    <x v="1"/>
    <n v="8.8529036217323734E-2"/>
    <x v="1"/>
  </r>
  <r>
    <n v="177"/>
    <s v="CLIENT_177"/>
    <n v="63"/>
    <n v="104676"/>
    <n v="859380"/>
    <n v="0.10199999999999999"/>
    <n v="30"/>
    <x v="129"/>
    <n v="9"/>
    <n v="32997"/>
    <x v="2"/>
    <n v="0.31522985211509802"/>
    <x v="3"/>
  </r>
  <r>
    <n v="178"/>
    <s v="CLIENT_178"/>
    <n v="36"/>
    <n v="71336"/>
    <n v="1871498"/>
    <n v="0.114"/>
    <n v="30"/>
    <x v="31"/>
    <n v="1"/>
    <n v="28057"/>
    <x v="1"/>
    <n v="0.39330772681395088"/>
    <x v="1"/>
  </r>
  <r>
    <n v="179"/>
    <s v="CLIENT_179"/>
    <n v="57"/>
    <n v="106532"/>
    <n v="509045"/>
    <n v="0.10100000000000001"/>
    <n v="30"/>
    <x v="130"/>
    <n v="1"/>
    <n v="31985"/>
    <x v="2"/>
    <n v="0.30023842601284123"/>
    <x v="3"/>
  </r>
  <r>
    <n v="180"/>
    <s v="CLIENT_180"/>
    <n v="41"/>
    <n v="27675"/>
    <n v="2091491"/>
    <n v="0.11700000000000001"/>
    <n v="20"/>
    <x v="58"/>
    <n v="6"/>
    <n v="42145"/>
    <x v="2"/>
    <n v="1.5228545618789522"/>
    <x v="5"/>
  </r>
  <r>
    <n v="181"/>
    <s v="CLIENT_181"/>
    <n v="64"/>
    <n v="111610"/>
    <n v="2484205"/>
    <n v="0.08"/>
    <n v="25"/>
    <x v="131"/>
    <n v="8"/>
    <n v="30348"/>
    <x v="2"/>
    <n v="0.27191111907535165"/>
    <x v="3"/>
  </r>
  <r>
    <n v="182"/>
    <s v="CLIENT_182"/>
    <n v="25"/>
    <n v="108171"/>
    <n v="1531916"/>
    <n v="0.113"/>
    <n v="15"/>
    <x v="132"/>
    <n v="5"/>
    <n v="44055"/>
    <x v="2"/>
    <n v="0.40727181961893666"/>
    <x v="3"/>
  </r>
  <r>
    <n v="183"/>
    <s v="CLIENT_183"/>
    <n v="22"/>
    <n v="95901"/>
    <n v="775624"/>
    <n v="0.113"/>
    <n v="25"/>
    <x v="133"/>
    <n v="11"/>
    <n v="47713"/>
    <x v="1"/>
    <n v="0.4975234877634227"/>
    <x v="2"/>
  </r>
  <r>
    <n v="184"/>
    <s v="CLIENT_184"/>
    <n v="61"/>
    <n v="112654"/>
    <n v="1009201"/>
    <n v="9.9000000000000005E-2"/>
    <n v="10"/>
    <x v="38"/>
    <n v="15"/>
    <n v="38355"/>
    <x v="2"/>
    <n v="0.34046727146838995"/>
    <x v="3"/>
  </r>
  <r>
    <n v="185"/>
    <s v="CLIENT_185"/>
    <n v="55"/>
    <n v="41790"/>
    <n v="1921449"/>
    <n v="0.112"/>
    <n v="25"/>
    <x v="113"/>
    <n v="14"/>
    <n v="4899"/>
    <x v="0"/>
    <n v="0.11722900215362526"/>
    <x v="4"/>
  </r>
  <r>
    <n v="186"/>
    <s v="CLIENT_186"/>
    <n v="63"/>
    <n v="96955"/>
    <n v="2444679"/>
    <n v="9.7000000000000003E-2"/>
    <n v="20"/>
    <x v="103"/>
    <n v="13"/>
    <n v="36032"/>
    <x v="2"/>
    <n v="0.37163632613067921"/>
    <x v="3"/>
  </r>
  <r>
    <n v="187"/>
    <s v="CLIENT_187"/>
    <n v="54"/>
    <n v="34143"/>
    <n v="1306568"/>
    <n v="0.1"/>
    <n v="30"/>
    <x v="134"/>
    <n v="5"/>
    <n v="31935"/>
    <x v="1"/>
    <n v="0.93533081451542044"/>
    <x v="1"/>
  </r>
  <r>
    <n v="188"/>
    <s v="CLIENT_188"/>
    <n v="43"/>
    <n v="37189"/>
    <n v="1509192"/>
    <n v="0.11700000000000001"/>
    <n v="30"/>
    <x v="135"/>
    <n v="2"/>
    <n v="8433"/>
    <x v="0"/>
    <n v="0.22676060125305869"/>
    <x v="0"/>
  </r>
  <r>
    <n v="189"/>
    <s v="CLIENT_189"/>
    <n v="65"/>
    <n v="46554"/>
    <n v="1952181"/>
    <n v="8.3000000000000004E-2"/>
    <n v="25"/>
    <x v="16"/>
    <n v="15"/>
    <n v="13455"/>
    <x v="1"/>
    <n v="0.28901920350560639"/>
    <x v="1"/>
  </r>
  <r>
    <n v="190"/>
    <s v="CLIENT_190"/>
    <n v="46"/>
    <n v="38295"/>
    <n v="2330994"/>
    <n v="0.113"/>
    <n v="25"/>
    <x v="136"/>
    <n v="10"/>
    <n v="34533"/>
    <x v="2"/>
    <n v="0.90176263219741482"/>
    <x v="3"/>
  </r>
  <r>
    <n v="191"/>
    <s v="CLIENT_191"/>
    <n v="40"/>
    <n v="53851"/>
    <n v="880594"/>
    <n v="0.1"/>
    <n v="10"/>
    <x v="126"/>
    <n v="9"/>
    <n v="45811"/>
    <x v="2"/>
    <n v="0.85069915136209173"/>
    <x v="3"/>
  </r>
  <r>
    <n v="192"/>
    <s v="CLIENT_192"/>
    <n v="49"/>
    <n v="56806"/>
    <n v="856125"/>
    <n v="8.5000000000000006E-2"/>
    <n v="30"/>
    <x v="137"/>
    <n v="14"/>
    <n v="4894"/>
    <x v="0"/>
    <n v="8.6152871175580042E-2"/>
    <x v="4"/>
  </r>
  <r>
    <n v="193"/>
    <s v="CLIENT_193"/>
    <n v="55"/>
    <n v="108799"/>
    <n v="1244785"/>
    <n v="8.5000000000000006E-2"/>
    <n v="15"/>
    <x v="36"/>
    <n v="14"/>
    <n v="7326"/>
    <x v="0"/>
    <n v="6.733517771303045E-2"/>
    <x v="0"/>
  </r>
  <r>
    <n v="194"/>
    <s v="CLIENT_194"/>
    <n v="60"/>
    <n v="36384"/>
    <n v="2355711"/>
    <n v="0.104"/>
    <n v="10"/>
    <x v="138"/>
    <n v="12"/>
    <n v="21540"/>
    <x v="2"/>
    <n v="0.59201846965699212"/>
    <x v="3"/>
  </r>
  <r>
    <n v="195"/>
    <s v="CLIENT_195"/>
    <n v="30"/>
    <n v="111728"/>
    <n v="596046"/>
    <n v="0.104"/>
    <n v="20"/>
    <x v="117"/>
    <n v="5"/>
    <n v="46030"/>
    <x v="2"/>
    <n v="0.41198267220392382"/>
    <x v="3"/>
  </r>
  <r>
    <n v="196"/>
    <s v="CLIENT_196"/>
    <n v="49"/>
    <n v="48492"/>
    <n v="1499621"/>
    <n v="0.109"/>
    <n v="30"/>
    <x v="139"/>
    <n v="3"/>
    <n v="39878"/>
    <x v="2"/>
    <n v="0.82236245153839804"/>
    <x v="3"/>
  </r>
  <r>
    <n v="197"/>
    <s v="CLIENT_197"/>
    <n v="26"/>
    <n v="116451"/>
    <n v="526104"/>
    <n v="8.5999999999999993E-2"/>
    <n v="30"/>
    <x v="86"/>
    <n v="12"/>
    <n v="46640"/>
    <x v="2"/>
    <n v="0.4005118032477179"/>
    <x v="3"/>
  </r>
  <r>
    <n v="198"/>
    <s v="CLIENT_198"/>
    <n v="21"/>
    <n v="78631"/>
    <n v="1276204"/>
    <n v="0.109"/>
    <n v="20"/>
    <x v="29"/>
    <n v="11"/>
    <n v="19566"/>
    <x v="1"/>
    <n v="0.24883315740611209"/>
    <x v="2"/>
  </r>
  <r>
    <n v="199"/>
    <s v="CLIENT_199"/>
    <n v="34"/>
    <n v="100350"/>
    <n v="2346798"/>
    <n v="0.1"/>
    <n v="30"/>
    <x v="41"/>
    <n v="11"/>
    <n v="11122"/>
    <x v="0"/>
    <n v="0.11083208769307425"/>
    <x v="4"/>
  </r>
  <r>
    <n v="200"/>
    <s v="CLIENT_200"/>
    <n v="52"/>
    <n v="83917"/>
    <n v="1412095"/>
    <n v="0.11"/>
    <n v="30"/>
    <x v="23"/>
    <n v="2"/>
    <n v="1986"/>
    <x v="1"/>
    <n v="2.3666241643528724E-2"/>
    <x v="1"/>
  </r>
  <r>
    <n v="201"/>
    <s v="CLIENT_201"/>
    <n v="26"/>
    <n v="85457"/>
    <n v="2123574"/>
    <n v="8.7999999999999995E-2"/>
    <n v="20"/>
    <x v="84"/>
    <n v="10"/>
    <n v="16319"/>
    <x v="2"/>
    <n v="0.19096153621119394"/>
    <x v="3"/>
  </r>
  <r>
    <n v="202"/>
    <s v="CLIENT_202"/>
    <n v="52"/>
    <n v="24501"/>
    <n v="1686002"/>
    <n v="0.08"/>
    <n v="25"/>
    <x v="140"/>
    <n v="12"/>
    <n v="15488"/>
    <x v="2"/>
    <n v="0.63213746377698865"/>
    <x v="5"/>
  </r>
  <r>
    <n v="203"/>
    <s v="CLIENT_203"/>
    <n v="22"/>
    <n v="75847"/>
    <n v="1061859"/>
    <n v="0.109"/>
    <n v="15"/>
    <x v="141"/>
    <n v="2"/>
    <n v="8902"/>
    <x v="1"/>
    <n v="0.11736785897926089"/>
    <x v="2"/>
  </r>
  <r>
    <n v="204"/>
    <s v="CLIENT_204"/>
    <n v="28"/>
    <n v="101807"/>
    <n v="578384"/>
    <n v="9.2999999999999999E-2"/>
    <n v="25"/>
    <x v="80"/>
    <n v="13"/>
    <n v="41167"/>
    <x v="2"/>
    <n v="0.4043631577396446"/>
    <x v="5"/>
  </r>
  <r>
    <n v="205"/>
    <s v="CLIENT_205"/>
    <n v="32"/>
    <n v="119120"/>
    <n v="2247421"/>
    <n v="0.109"/>
    <n v="10"/>
    <x v="142"/>
    <n v="15"/>
    <n v="8281"/>
    <x v="0"/>
    <n v="6.9518132975151109E-2"/>
    <x v="4"/>
  </r>
  <r>
    <n v="206"/>
    <s v="CLIENT_206"/>
    <n v="47"/>
    <n v="80241"/>
    <n v="940828"/>
    <n v="0.11700000000000001"/>
    <n v="15"/>
    <x v="133"/>
    <n v="6"/>
    <n v="29522"/>
    <x v="2"/>
    <n v="0.36791665108859561"/>
    <x v="3"/>
  </r>
  <r>
    <n v="207"/>
    <s v="CLIENT_207"/>
    <n v="61"/>
    <n v="32788"/>
    <n v="575965"/>
    <n v="9.1999999999999998E-2"/>
    <n v="10"/>
    <x v="143"/>
    <n v="5"/>
    <n v="17221"/>
    <x v="2"/>
    <n v="0.52522264243015737"/>
    <x v="3"/>
  </r>
  <r>
    <n v="208"/>
    <s v="CLIENT_208"/>
    <n v="39"/>
    <n v="53195"/>
    <n v="1540952"/>
    <n v="0.105"/>
    <n v="25"/>
    <x v="128"/>
    <n v="9"/>
    <n v="45695"/>
    <x v="1"/>
    <n v="0.85900930538584452"/>
    <x v="1"/>
  </r>
  <r>
    <n v="209"/>
    <s v="CLIENT_209"/>
    <n v="54"/>
    <n v="56404"/>
    <n v="1569770"/>
    <n v="8.6999999999999994E-2"/>
    <n v="25"/>
    <x v="0"/>
    <n v="2"/>
    <n v="17141"/>
    <x v="2"/>
    <n v="0.30389688674562088"/>
    <x v="3"/>
  </r>
  <r>
    <n v="210"/>
    <s v="CLIENT_210"/>
    <n v="54"/>
    <n v="55629"/>
    <n v="650159"/>
    <n v="9.6000000000000002E-2"/>
    <n v="10"/>
    <x v="129"/>
    <n v="15"/>
    <n v="24268"/>
    <x v="2"/>
    <n v="0.4362472810943932"/>
    <x v="3"/>
  </r>
  <r>
    <n v="211"/>
    <s v="CLIENT_211"/>
    <n v="26"/>
    <n v="37671"/>
    <n v="1571618"/>
    <n v="8.1000000000000003E-2"/>
    <n v="20"/>
    <x v="144"/>
    <n v="12"/>
    <n v="49559"/>
    <x v="2"/>
    <n v="1.3155743144593985"/>
    <x v="3"/>
  </r>
  <r>
    <n v="212"/>
    <s v="CLIENT_212"/>
    <n v="33"/>
    <n v="42512"/>
    <n v="2309552"/>
    <n v="0.11899999999999999"/>
    <n v="25"/>
    <x v="145"/>
    <n v="0"/>
    <n v="47517"/>
    <x v="2"/>
    <n v="1.1177314640572074"/>
    <x v="3"/>
  </r>
  <r>
    <n v="213"/>
    <s v="CLIENT_213"/>
    <n v="45"/>
    <n v="28675"/>
    <n v="1999667"/>
    <n v="0.106"/>
    <n v="25"/>
    <x v="146"/>
    <n v="0"/>
    <n v="16642"/>
    <x v="2"/>
    <n v="0.58036617262423718"/>
    <x v="3"/>
  </r>
  <r>
    <n v="214"/>
    <s v="CLIENT_214"/>
    <n v="65"/>
    <n v="50649"/>
    <n v="754708"/>
    <n v="0.108"/>
    <n v="15"/>
    <x v="27"/>
    <n v="0"/>
    <n v="46310"/>
    <x v="1"/>
    <n v="0.91433197101620955"/>
    <x v="1"/>
  </r>
  <r>
    <n v="215"/>
    <s v="CLIENT_215"/>
    <n v="32"/>
    <n v="16292"/>
    <n v="1153215"/>
    <n v="9.1999999999999998E-2"/>
    <n v="30"/>
    <x v="147"/>
    <n v="14"/>
    <n v="38717"/>
    <x v="2"/>
    <n v="2.3764424257304197"/>
    <x v="3"/>
  </r>
  <r>
    <n v="216"/>
    <s v="CLIENT_216"/>
    <n v="56"/>
    <n v="89667"/>
    <n v="2415712"/>
    <n v="8.5000000000000006E-2"/>
    <n v="10"/>
    <x v="108"/>
    <n v="14"/>
    <n v="8680"/>
    <x v="0"/>
    <n v="9.680261411667615E-2"/>
    <x v="0"/>
  </r>
  <r>
    <n v="217"/>
    <s v="CLIENT_217"/>
    <n v="62"/>
    <n v="65744"/>
    <n v="1299341"/>
    <n v="0.111"/>
    <n v="10"/>
    <x v="36"/>
    <n v="10"/>
    <n v="34575"/>
    <x v="2"/>
    <n v="0.52590350450231205"/>
    <x v="3"/>
  </r>
  <r>
    <n v="218"/>
    <s v="CLIENT_218"/>
    <n v="57"/>
    <n v="16863"/>
    <n v="1300775"/>
    <n v="8.8999999999999996E-2"/>
    <n v="25"/>
    <x v="55"/>
    <n v="1"/>
    <n v="6751"/>
    <x v="1"/>
    <n v="0.40034394828915376"/>
    <x v="1"/>
  </r>
  <r>
    <n v="219"/>
    <s v="CLIENT_219"/>
    <n v="28"/>
    <n v="116664"/>
    <n v="1726090"/>
    <n v="8.7999999999999995E-2"/>
    <n v="15"/>
    <x v="28"/>
    <n v="10"/>
    <n v="3473"/>
    <x v="0"/>
    <n v="2.9769251868614139E-2"/>
    <x v="4"/>
  </r>
  <r>
    <n v="220"/>
    <s v="CLIENT_220"/>
    <n v="51"/>
    <n v="23805"/>
    <n v="1767012"/>
    <n v="9.1999999999999998E-2"/>
    <n v="10"/>
    <x v="100"/>
    <n v="13"/>
    <n v="4476"/>
    <x v="1"/>
    <n v="0.18802772526780087"/>
    <x v="1"/>
  </r>
  <r>
    <n v="221"/>
    <s v="CLIENT_221"/>
    <n v="63"/>
    <n v="92308"/>
    <n v="1779959"/>
    <n v="9.2999999999999999E-2"/>
    <n v="20"/>
    <x v="148"/>
    <n v="6"/>
    <n v="37113"/>
    <x v="2"/>
    <n v="0.40205615981280063"/>
    <x v="3"/>
  </r>
  <r>
    <n v="222"/>
    <s v="CLIENT_222"/>
    <n v="22"/>
    <n v="101871"/>
    <n v="1916927"/>
    <n v="8.6999999999999994E-2"/>
    <n v="20"/>
    <x v="97"/>
    <n v="11"/>
    <n v="39615"/>
    <x v="1"/>
    <n v="0.38887416438436845"/>
    <x v="2"/>
  </r>
  <r>
    <n v="223"/>
    <s v="CLIENT_223"/>
    <n v="44"/>
    <n v="73466"/>
    <n v="2478782"/>
    <n v="9.7000000000000003E-2"/>
    <n v="15"/>
    <x v="149"/>
    <n v="11"/>
    <n v="11439"/>
    <x v="0"/>
    <n v="0.15570467971578689"/>
    <x v="4"/>
  </r>
  <r>
    <n v="224"/>
    <s v="CLIENT_224"/>
    <n v="34"/>
    <n v="29499"/>
    <n v="1982531"/>
    <n v="0.10100000000000001"/>
    <n v="30"/>
    <x v="81"/>
    <n v="13"/>
    <n v="7986"/>
    <x v="0"/>
    <n v="0.2707210413912336"/>
    <x v="4"/>
  </r>
  <r>
    <n v="225"/>
    <s v="CLIENT_225"/>
    <n v="52"/>
    <n v="117244"/>
    <n v="1111040"/>
    <n v="8.3000000000000004E-2"/>
    <n v="15"/>
    <x v="150"/>
    <n v="9"/>
    <n v="28768"/>
    <x v="2"/>
    <n v="0.24536863293644023"/>
    <x v="3"/>
  </r>
  <r>
    <n v="226"/>
    <s v="CLIENT_226"/>
    <n v="61"/>
    <n v="61805"/>
    <n v="2238610"/>
    <n v="0.11600000000000001"/>
    <n v="20"/>
    <x v="118"/>
    <n v="14"/>
    <n v="27226"/>
    <x v="2"/>
    <n v="0.44051452147884473"/>
    <x v="3"/>
  </r>
  <r>
    <n v="227"/>
    <s v="CLIENT_227"/>
    <n v="32"/>
    <n v="63017"/>
    <n v="1337865"/>
    <n v="0.114"/>
    <n v="15"/>
    <x v="151"/>
    <n v="11"/>
    <n v="37085"/>
    <x v="1"/>
    <n v="0.58849199422378085"/>
    <x v="1"/>
  </r>
  <r>
    <n v="228"/>
    <s v="CLIENT_228"/>
    <n v="60"/>
    <n v="30363"/>
    <n v="1441709"/>
    <n v="0.09"/>
    <n v="15"/>
    <x v="152"/>
    <n v="11"/>
    <n v="38610"/>
    <x v="1"/>
    <n v="1.2716134769291572"/>
    <x v="1"/>
  </r>
  <r>
    <n v="229"/>
    <s v="CLIENT_229"/>
    <n v="55"/>
    <n v="115452"/>
    <n v="1965821"/>
    <n v="9.8000000000000004E-2"/>
    <n v="15"/>
    <x v="72"/>
    <n v="13"/>
    <n v="29253"/>
    <x v="2"/>
    <n v="0.25337802723209646"/>
    <x v="3"/>
  </r>
  <r>
    <n v="230"/>
    <s v="CLIENT_230"/>
    <n v="39"/>
    <n v="19159"/>
    <n v="2280327"/>
    <n v="0.115"/>
    <n v="30"/>
    <x v="150"/>
    <n v="4"/>
    <n v="29710"/>
    <x v="2"/>
    <n v="1.5507072394175061"/>
    <x v="3"/>
  </r>
  <r>
    <n v="231"/>
    <s v="CLIENT_231"/>
    <n v="28"/>
    <n v="89448"/>
    <n v="1156679"/>
    <n v="8.6999999999999994E-2"/>
    <n v="25"/>
    <x v="153"/>
    <n v="13"/>
    <n v="1827"/>
    <x v="0"/>
    <n v="2.0425275020123423E-2"/>
    <x v="4"/>
  </r>
  <r>
    <n v="232"/>
    <s v="CLIENT_232"/>
    <n v="50"/>
    <n v="86306"/>
    <n v="2339666"/>
    <n v="0.104"/>
    <n v="20"/>
    <x v="135"/>
    <n v="11"/>
    <n v="20871"/>
    <x v="2"/>
    <n v="0.24182559729335157"/>
    <x v="3"/>
  </r>
  <r>
    <n v="233"/>
    <s v="CLIENT_233"/>
    <n v="33"/>
    <n v="115091"/>
    <n v="1172727"/>
    <n v="8.1000000000000003E-2"/>
    <n v="30"/>
    <x v="125"/>
    <n v="9"/>
    <n v="28993"/>
    <x v="2"/>
    <n v="0.25191370306974481"/>
    <x v="3"/>
  </r>
  <r>
    <n v="234"/>
    <s v="CLIENT_234"/>
    <n v="62"/>
    <n v="112101"/>
    <n v="1931749"/>
    <n v="0.104"/>
    <n v="20"/>
    <x v="59"/>
    <n v="3"/>
    <n v="35262"/>
    <x v="1"/>
    <n v="0.31455562394626274"/>
    <x v="1"/>
  </r>
  <r>
    <n v="235"/>
    <s v="CLIENT_235"/>
    <n v="58"/>
    <n v="31085"/>
    <n v="1732646"/>
    <n v="8.5000000000000006E-2"/>
    <n v="10"/>
    <x v="154"/>
    <n v="10"/>
    <n v="30382"/>
    <x v="2"/>
    <n v="0.97738459063857164"/>
    <x v="5"/>
  </r>
  <r>
    <n v="236"/>
    <s v="CLIENT_236"/>
    <n v="63"/>
    <n v="80317"/>
    <n v="607840"/>
    <n v="0.108"/>
    <n v="15"/>
    <x v="155"/>
    <n v="5"/>
    <n v="47904"/>
    <x v="2"/>
    <n v="0.59643661989367136"/>
    <x v="3"/>
  </r>
  <r>
    <n v="237"/>
    <s v="CLIENT_237"/>
    <n v="20"/>
    <n v="63123"/>
    <n v="1979850"/>
    <n v="9.9000000000000005E-2"/>
    <n v="30"/>
    <x v="156"/>
    <n v="8"/>
    <n v="13184"/>
    <x v="1"/>
    <n v="0.2088620629564501"/>
    <x v="2"/>
  </r>
  <r>
    <n v="238"/>
    <s v="CLIENT_238"/>
    <n v="35"/>
    <n v="81059"/>
    <n v="1586116"/>
    <n v="0.106"/>
    <n v="15"/>
    <x v="157"/>
    <n v="7"/>
    <n v="44975"/>
    <x v="2"/>
    <n v="0.55484276884738282"/>
    <x v="5"/>
  </r>
  <r>
    <n v="239"/>
    <s v="CLIENT_239"/>
    <n v="42"/>
    <n v="102770"/>
    <n v="1202832"/>
    <n v="0.1"/>
    <n v="25"/>
    <x v="69"/>
    <n v="14"/>
    <n v="10992"/>
    <x v="0"/>
    <n v="0.10695728325386786"/>
    <x v="4"/>
  </r>
  <r>
    <n v="240"/>
    <s v="CLIENT_240"/>
    <n v="65"/>
    <n v="46179"/>
    <n v="1451972"/>
    <n v="0.10299999999999999"/>
    <n v="25"/>
    <x v="158"/>
    <n v="6"/>
    <n v="15490"/>
    <x v="2"/>
    <n v="0.33543385521557417"/>
    <x v="3"/>
  </r>
  <r>
    <n v="241"/>
    <s v="CLIENT_241"/>
    <n v="28"/>
    <n v="71647"/>
    <n v="825908"/>
    <n v="0.11600000000000001"/>
    <n v="25"/>
    <x v="159"/>
    <n v="2"/>
    <n v="18214"/>
    <x v="1"/>
    <n v="0.25421859952265968"/>
    <x v="1"/>
  </r>
  <r>
    <n v="242"/>
    <s v="CLIENT_242"/>
    <n v="36"/>
    <n v="89658"/>
    <n v="791847"/>
    <n v="8.1000000000000003E-2"/>
    <n v="15"/>
    <x v="19"/>
    <n v="15"/>
    <n v="21972"/>
    <x v="2"/>
    <n v="0.24506457873251689"/>
    <x v="3"/>
  </r>
  <r>
    <n v="243"/>
    <s v="CLIENT_243"/>
    <n v="40"/>
    <n v="77581"/>
    <n v="1106997"/>
    <n v="0.104"/>
    <n v="30"/>
    <x v="160"/>
    <n v="9"/>
    <n v="41533"/>
    <x v="2"/>
    <n v="0.53535015016563336"/>
    <x v="3"/>
  </r>
  <r>
    <n v="244"/>
    <s v="CLIENT_244"/>
    <n v="47"/>
    <n v="55270"/>
    <n v="1019916"/>
    <n v="0.115"/>
    <n v="30"/>
    <x v="120"/>
    <n v="1"/>
    <n v="19178"/>
    <x v="1"/>
    <n v="0.34698751583137327"/>
    <x v="1"/>
  </r>
  <r>
    <n v="245"/>
    <s v="CLIENT_245"/>
    <n v="22"/>
    <n v="54031"/>
    <n v="1769112"/>
    <n v="9.9000000000000005E-2"/>
    <n v="20"/>
    <x v="53"/>
    <n v="13"/>
    <n v="45407"/>
    <x v="1"/>
    <n v="0.84038792545020446"/>
    <x v="2"/>
  </r>
  <r>
    <n v="246"/>
    <s v="CLIENT_246"/>
    <n v="25"/>
    <n v="116638"/>
    <n v="532663"/>
    <n v="8.3000000000000004E-2"/>
    <n v="15"/>
    <x v="161"/>
    <n v="6"/>
    <n v="38040"/>
    <x v="1"/>
    <n v="0.32613727944580667"/>
    <x v="1"/>
  </r>
  <r>
    <n v="247"/>
    <s v="CLIENT_247"/>
    <n v="21"/>
    <n v="21920"/>
    <n v="1883958"/>
    <n v="8.3000000000000004E-2"/>
    <n v="30"/>
    <x v="72"/>
    <n v="3"/>
    <n v="40515"/>
    <x v="1"/>
    <n v="1.8483120437956204"/>
    <x v="2"/>
  </r>
  <r>
    <n v="248"/>
    <s v="CLIENT_248"/>
    <n v="43"/>
    <n v="104612"/>
    <n v="847680"/>
    <n v="0.112"/>
    <n v="20"/>
    <x v="113"/>
    <n v="8"/>
    <n v="10408"/>
    <x v="0"/>
    <n v="9.9491454135280849E-2"/>
    <x v="4"/>
  </r>
  <r>
    <n v="249"/>
    <s v="CLIENT_249"/>
    <n v="37"/>
    <n v="20632"/>
    <n v="583265"/>
    <n v="9.1999999999999998E-2"/>
    <n v="25"/>
    <x v="144"/>
    <n v="4"/>
    <n v="24357"/>
    <x v="2"/>
    <n v="1.1805447848003101"/>
    <x v="3"/>
  </r>
  <r>
    <n v="250"/>
    <s v="CLIENT_250"/>
    <n v="22"/>
    <n v="92439"/>
    <n v="1647970"/>
    <n v="9.1999999999999998E-2"/>
    <n v="10"/>
    <x v="17"/>
    <n v="4"/>
    <n v="30783"/>
    <x v="1"/>
    <n v="0.33300879498912794"/>
    <x v="2"/>
  </r>
  <r>
    <n v="251"/>
    <s v="CLIENT_251"/>
    <n v="61"/>
    <n v="49969"/>
    <n v="893536"/>
    <n v="9.9000000000000005E-2"/>
    <n v="25"/>
    <x v="162"/>
    <n v="0"/>
    <n v="9538"/>
    <x v="1"/>
    <n v="0.19087834457363564"/>
    <x v="1"/>
  </r>
  <r>
    <n v="252"/>
    <s v="CLIENT_252"/>
    <n v="29"/>
    <n v="87678"/>
    <n v="1928825"/>
    <n v="0.113"/>
    <n v="20"/>
    <x v="134"/>
    <n v="14"/>
    <n v="9861"/>
    <x v="1"/>
    <n v="0.11246835009922672"/>
    <x v="1"/>
  </r>
  <r>
    <n v="253"/>
    <s v="CLIENT_253"/>
    <n v="47"/>
    <n v="61993"/>
    <n v="2158630"/>
    <n v="0.11899999999999999"/>
    <n v="25"/>
    <x v="9"/>
    <n v="15"/>
    <n v="14958"/>
    <x v="1"/>
    <n v="0.24128530640556192"/>
    <x v="1"/>
  </r>
  <r>
    <n v="254"/>
    <s v="CLIENT_254"/>
    <n v="30"/>
    <n v="90695"/>
    <n v="905501"/>
    <n v="9.5000000000000001E-2"/>
    <n v="10"/>
    <x v="163"/>
    <n v="5"/>
    <n v="13605"/>
    <x v="0"/>
    <n v="0.15000826947461271"/>
    <x v="4"/>
  </r>
  <r>
    <n v="255"/>
    <s v="CLIENT_255"/>
    <n v="34"/>
    <n v="48729"/>
    <n v="2343196"/>
    <n v="0.10100000000000001"/>
    <n v="10"/>
    <x v="132"/>
    <n v="9"/>
    <n v="6260"/>
    <x v="0"/>
    <n v="0.12846559543598268"/>
    <x v="4"/>
  </r>
  <r>
    <n v="256"/>
    <s v="CLIENT_256"/>
    <n v="57"/>
    <n v="41610"/>
    <n v="2203899"/>
    <n v="0.11899999999999999"/>
    <n v="10"/>
    <x v="130"/>
    <n v="12"/>
    <n v="31073"/>
    <x v="2"/>
    <n v="0.74676760394136021"/>
    <x v="3"/>
  </r>
  <r>
    <n v="257"/>
    <s v="CLIENT_257"/>
    <n v="23"/>
    <n v="60789"/>
    <n v="2487430"/>
    <n v="0.09"/>
    <n v="25"/>
    <x v="164"/>
    <n v="7"/>
    <n v="2116"/>
    <x v="1"/>
    <n v="3.4808929247067723E-2"/>
    <x v="2"/>
  </r>
  <r>
    <n v="258"/>
    <s v="CLIENT_258"/>
    <n v="49"/>
    <n v="87210"/>
    <n v="1335845"/>
    <n v="9.0999999999999998E-2"/>
    <n v="30"/>
    <x v="71"/>
    <n v="12"/>
    <n v="32991"/>
    <x v="2"/>
    <n v="0.37829377364981082"/>
    <x v="5"/>
  </r>
  <r>
    <n v="259"/>
    <s v="CLIENT_259"/>
    <n v="31"/>
    <n v="24702"/>
    <n v="576692"/>
    <n v="0.11600000000000001"/>
    <n v="15"/>
    <x v="128"/>
    <n v="0"/>
    <n v="15130"/>
    <x v="1"/>
    <n v="0.61250101206380048"/>
    <x v="1"/>
  </r>
  <r>
    <n v="260"/>
    <s v="CLIENT_260"/>
    <n v="54"/>
    <n v="108121"/>
    <n v="2314655"/>
    <n v="9.6000000000000002E-2"/>
    <n v="10"/>
    <x v="126"/>
    <n v="10"/>
    <n v="35892"/>
    <x v="2"/>
    <n v="0.33196141360142806"/>
    <x v="3"/>
  </r>
  <r>
    <n v="261"/>
    <s v="CLIENT_261"/>
    <n v="64"/>
    <n v="119076"/>
    <n v="2007305"/>
    <n v="8.5000000000000006E-2"/>
    <n v="25"/>
    <x v="165"/>
    <n v="14"/>
    <n v="35556"/>
    <x v="2"/>
    <n v="0.29859921394739491"/>
    <x v="3"/>
  </r>
  <r>
    <n v="262"/>
    <s v="CLIENT_262"/>
    <n v="27"/>
    <n v="110957"/>
    <n v="1548718"/>
    <n v="8.7999999999999995E-2"/>
    <n v="10"/>
    <x v="9"/>
    <n v="15"/>
    <n v="11983"/>
    <x v="1"/>
    <n v="0.10799679154987968"/>
    <x v="1"/>
  </r>
  <r>
    <n v="263"/>
    <s v="CLIENT_263"/>
    <n v="22"/>
    <n v="118926"/>
    <n v="1933972"/>
    <n v="0.10199999999999999"/>
    <n v="15"/>
    <x v="20"/>
    <n v="14"/>
    <n v="30964"/>
    <x v="1"/>
    <n v="0.26036358744092963"/>
    <x v="2"/>
  </r>
  <r>
    <n v="264"/>
    <s v="CLIENT_264"/>
    <n v="62"/>
    <n v="72338"/>
    <n v="1276168"/>
    <n v="8.4000000000000005E-2"/>
    <n v="20"/>
    <x v="166"/>
    <n v="11"/>
    <n v="27582"/>
    <x v="2"/>
    <n v="0.38129337277779313"/>
    <x v="3"/>
  </r>
  <r>
    <n v="265"/>
    <s v="CLIENT_265"/>
    <n v="60"/>
    <n v="73364"/>
    <n v="2456792"/>
    <n v="8.3000000000000004E-2"/>
    <n v="15"/>
    <x v="167"/>
    <n v="2"/>
    <n v="17960"/>
    <x v="2"/>
    <n v="0.24480671719099287"/>
    <x v="3"/>
  </r>
  <r>
    <n v="266"/>
    <s v="CLIENT_266"/>
    <n v="49"/>
    <n v="25297"/>
    <n v="2191977"/>
    <n v="9.8000000000000004E-2"/>
    <n v="30"/>
    <x v="168"/>
    <n v="5"/>
    <n v="20785"/>
    <x v="2"/>
    <n v="0.82163892951733408"/>
    <x v="5"/>
  </r>
  <r>
    <n v="267"/>
    <s v="CLIENT_267"/>
    <n v="59"/>
    <n v="41447"/>
    <n v="2465191"/>
    <n v="0.108"/>
    <n v="10"/>
    <x v="53"/>
    <n v="15"/>
    <n v="43839"/>
    <x v="2"/>
    <n v="1.057712259029604"/>
    <x v="3"/>
  </r>
  <r>
    <n v="268"/>
    <s v="CLIENT_268"/>
    <n v="32"/>
    <n v="81959"/>
    <n v="2033737"/>
    <n v="0.10299999999999999"/>
    <n v="10"/>
    <x v="74"/>
    <n v="1"/>
    <n v="12069"/>
    <x v="0"/>
    <n v="0.1472565551068217"/>
    <x v="0"/>
  </r>
  <r>
    <n v="269"/>
    <s v="CLIENT_269"/>
    <n v="51"/>
    <n v="114809"/>
    <n v="580669"/>
    <n v="9.0999999999999998E-2"/>
    <n v="10"/>
    <x v="51"/>
    <n v="4"/>
    <n v="49399"/>
    <x v="2"/>
    <n v="0.43027114599029692"/>
    <x v="3"/>
  </r>
  <r>
    <n v="270"/>
    <s v="CLIENT_270"/>
    <n v="39"/>
    <n v="40283"/>
    <n v="1155980"/>
    <n v="8.5999999999999993E-2"/>
    <n v="20"/>
    <x v="169"/>
    <n v="4"/>
    <n v="4889"/>
    <x v="0"/>
    <n v="0.12136633319266192"/>
    <x v="4"/>
  </r>
  <r>
    <n v="271"/>
    <s v="CLIENT_271"/>
    <n v="22"/>
    <n v="75232"/>
    <n v="1075983"/>
    <n v="9.4E-2"/>
    <n v="10"/>
    <x v="46"/>
    <n v="10"/>
    <n v="23300"/>
    <x v="1"/>
    <n v="0.30970863462356446"/>
    <x v="2"/>
  </r>
  <r>
    <n v="272"/>
    <s v="CLIENT_272"/>
    <n v="45"/>
    <n v="55728"/>
    <n v="803217"/>
    <n v="0.1"/>
    <n v="10"/>
    <x v="169"/>
    <n v="5"/>
    <n v="49042"/>
    <x v="2"/>
    <n v="0.88002440424921047"/>
    <x v="3"/>
  </r>
  <r>
    <n v="273"/>
    <s v="CLIENT_273"/>
    <n v="28"/>
    <n v="89319"/>
    <n v="549013"/>
    <n v="0.10299999999999999"/>
    <n v="20"/>
    <x v="170"/>
    <n v="4"/>
    <n v="48196"/>
    <x v="2"/>
    <n v="0.53959403934213324"/>
    <x v="3"/>
  </r>
  <r>
    <n v="274"/>
    <s v="CLIENT_274"/>
    <n v="20"/>
    <n v="110355"/>
    <n v="1604460"/>
    <n v="8.2000000000000003E-2"/>
    <n v="15"/>
    <x v="171"/>
    <n v="2"/>
    <n v="18524"/>
    <x v="1"/>
    <n v="0.16785827556522134"/>
    <x v="2"/>
  </r>
  <r>
    <n v="275"/>
    <s v="CLIENT_275"/>
    <n v="35"/>
    <n v="93381"/>
    <n v="1098005"/>
    <n v="0.115"/>
    <n v="20"/>
    <x v="71"/>
    <n v="13"/>
    <n v="17294"/>
    <x v="2"/>
    <n v="0.18519827373876913"/>
    <x v="5"/>
  </r>
  <r>
    <n v="276"/>
    <s v="CLIENT_276"/>
    <n v="58"/>
    <n v="22303"/>
    <n v="992772"/>
    <n v="8.8999999999999996E-2"/>
    <n v="25"/>
    <x v="35"/>
    <n v="8"/>
    <n v="22607"/>
    <x v="2"/>
    <n v="1.0136304533022464"/>
    <x v="3"/>
  </r>
  <r>
    <n v="277"/>
    <s v="CLIENT_277"/>
    <n v="54"/>
    <n v="76448"/>
    <n v="2153231"/>
    <n v="9.6000000000000002E-2"/>
    <n v="25"/>
    <x v="30"/>
    <n v="5"/>
    <n v="3765"/>
    <x v="1"/>
    <n v="4.9249162829635831E-2"/>
    <x v="1"/>
  </r>
  <r>
    <n v="278"/>
    <s v="CLIENT_278"/>
    <n v="43"/>
    <n v="24498"/>
    <n v="986774"/>
    <n v="0.107"/>
    <n v="15"/>
    <x v="23"/>
    <n v="2"/>
    <n v="27645"/>
    <x v="1"/>
    <n v="1.1284594660788636"/>
    <x v="1"/>
  </r>
  <r>
    <n v="279"/>
    <s v="CLIENT_279"/>
    <n v="55"/>
    <n v="72950"/>
    <n v="1270265"/>
    <n v="0.1"/>
    <n v="30"/>
    <x v="112"/>
    <n v="8"/>
    <n v="20936"/>
    <x v="2"/>
    <n v="0.28699108978752569"/>
    <x v="3"/>
  </r>
  <r>
    <n v="280"/>
    <s v="CLIENT_280"/>
    <n v="62"/>
    <n v="31448"/>
    <n v="2405664"/>
    <n v="9.0999999999999998E-2"/>
    <n v="15"/>
    <x v="55"/>
    <n v="4"/>
    <n v="8338"/>
    <x v="1"/>
    <n v="0.26513609768506741"/>
    <x v="1"/>
  </r>
  <r>
    <n v="281"/>
    <s v="CLIENT_281"/>
    <n v="45"/>
    <n v="54102"/>
    <n v="2356705"/>
    <n v="0.11899999999999999"/>
    <n v="10"/>
    <x v="91"/>
    <n v="12"/>
    <n v="13506"/>
    <x v="1"/>
    <n v="0.24963956970167461"/>
    <x v="1"/>
  </r>
  <r>
    <n v="282"/>
    <s v="CLIENT_282"/>
    <n v="25"/>
    <n v="65952"/>
    <n v="2170097"/>
    <n v="0.114"/>
    <n v="20"/>
    <x v="101"/>
    <n v="0"/>
    <n v="23653"/>
    <x v="2"/>
    <n v="0.35863961669092675"/>
    <x v="3"/>
  </r>
  <r>
    <n v="283"/>
    <s v="CLIENT_283"/>
    <n v="53"/>
    <n v="26242"/>
    <n v="1305033"/>
    <n v="9.8000000000000004E-2"/>
    <n v="25"/>
    <x v="94"/>
    <n v="8"/>
    <n v="37306"/>
    <x v="1"/>
    <n v="1.4216142062342809"/>
    <x v="1"/>
  </r>
  <r>
    <n v="284"/>
    <s v="CLIENT_284"/>
    <n v="47"/>
    <n v="56543"/>
    <n v="1078739"/>
    <n v="0.1"/>
    <n v="20"/>
    <x v="74"/>
    <n v="12"/>
    <n v="19620"/>
    <x v="2"/>
    <n v="0.34699255433917547"/>
    <x v="3"/>
  </r>
  <r>
    <n v="285"/>
    <s v="CLIENT_285"/>
    <n v="22"/>
    <n v="113105"/>
    <n v="813339"/>
    <n v="0.08"/>
    <n v="15"/>
    <x v="172"/>
    <n v="6"/>
    <n v="21044"/>
    <x v="1"/>
    <n v="0.18605720348348878"/>
    <x v="2"/>
  </r>
  <r>
    <n v="286"/>
    <s v="CLIENT_286"/>
    <n v="56"/>
    <n v="17561"/>
    <n v="1096865"/>
    <n v="8.6999999999999994E-2"/>
    <n v="25"/>
    <x v="101"/>
    <n v="2"/>
    <n v="13776"/>
    <x v="0"/>
    <n v="0.78446557713114284"/>
    <x v="4"/>
  </r>
  <r>
    <n v="287"/>
    <s v="CLIENT_287"/>
    <n v="58"/>
    <n v="68028"/>
    <n v="2082167"/>
    <n v="0.104"/>
    <n v="25"/>
    <x v="14"/>
    <n v="13"/>
    <n v="34132"/>
    <x v="2"/>
    <n v="0.50173457987887338"/>
    <x v="3"/>
  </r>
  <r>
    <n v="288"/>
    <s v="CLIENT_288"/>
    <n v="25"/>
    <n v="21515"/>
    <n v="2286010"/>
    <n v="0.1"/>
    <n v="30"/>
    <x v="54"/>
    <n v="5"/>
    <n v="32774"/>
    <x v="2"/>
    <n v="1.5233093190797118"/>
    <x v="3"/>
  </r>
  <r>
    <n v="289"/>
    <s v="CLIENT_289"/>
    <n v="65"/>
    <n v="95054"/>
    <n v="1277411"/>
    <n v="0.113"/>
    <n v="25"/>
    <x v="156"/>
    <n v="7"/>
    <n v="43581"/>
    <x v="2"/>
    <n v="0.4584867548972163"/>
    <x v="3"/>
  </r>
  <r>
    <n v="290"/>
    <s v="CLIENT_290"/>
    <n v="46"/>
    <n v="86754"/>
    <n v="2276193"/>
    <n v="0.112"/>
    <n v="30"/>
    <x v="173"/>
    <n v="6"/>
    <n v="9989"/>
    <x v="0"/>
    <n v="0.11514166493763976"/>
    <x v="4"/>
  </r>
  <r>
    <n v="291"/>
    <s v="CLIENT_291"/>
    <n v="38"/>
    <n v="18836"/>
    <n v="2399542"/>
    <n v="0.108"/>
    <n v="15"/>
    <x v="40"/>
    <n v="7"/>
    <n v="23696"/>
    <x v="1"/>
    <n v="1.2580165640263326"/>
    <x v="1"/>
  </r>
  <r>
    <n v="292"/>
    <s v="CLIENT_292"/>
    <n v="63"/>
    <n v="94920"/>
    <n v="2424798"/>
    <n v="0.11700000000000001"/>
    <n v="15"/>
    <x v="174"/>
    <n v="2"/>
    <n v="10873"/>
    <x v="2"/>
    <n v="0.11454909397387274"/>
    <x v="5"/>
  </r>
  <r>
    <n v="293"/>
    <s v="CLIENT_293"/>
    <n v="51"/>
    <n v="114213"/>
    <n v="2297176"/>
    <n v="8.4000000000000005E-2"/>
    <n v="30"/>
    <x v="2"/>
    <n v="2"/>
    <n v="33311"/>
    <x v="1"/>
    <n v="0.29165681664959331"/>
    <x v="1"/>
  </r>
  <r>
    <n v="294"/>
    <s v="CLIENT_294"/>
    <n v="26"/>
    <n v="119682"/>
    <n v="1705093"/>
    <n v="9.4E-2"/>
    <n v="20"/>
    <x v="175"/>
    <n v="1"/>
    <n v="1985"/>
    <x v="2"/>
    <n v="1.6585618555839642E-2"/>
    <x v="3"/>
  </r>
  <r>
    <n v="295"/>
    <s v="CLIENT_295"/>
    <n v="58"/>
    <n v="114992"/>
    <n v="1724857"/>
    <n v="0.09"/>
    <n v="25"/>
    <x v="89"/>
    <n v="7"/>
    <n v="38628"/>
    <x v="2"/>
    <n v="0.33591902045359678"/>
    <x v="3"/>
  </r>
  <r>
    <n v="296"/>
    <s v="CLIENT_296"/>
    <n v="64"/>
    <n v="17200"/>
    <n v="2082419"/>
    <n v="9.0999999999999998E-2"/>
    <n v="30"/>
    <x v="38"/>
    <n v="4"/>
    <n v="24510"/>
    <x v="2"/>
    <n v="1.425"/>
    <x v="3"/>
  </r>
  <r>
    <n v="297"/>
    <s v="CLIENT_297"/>
    <n v="28"/>
    <n v="32367"/>
    <n v="1236308"/>
    <n v="8.7999999999999995E-2"/>
    <n v="10"/>
    <x v="176"/>
    <n v="0"/>
    <n v="10763"/>
    <x v="2"/>
    <n v="0.33253004603454134"/>
    <x v="3"/>
  </r>
  <r>
    <n v="298"/>
    <s v="CLIENT_298"/>
    <n v="29"/>
    <n v="62936"/>
    <n v="1264433"/>
    <n v="8.3000000000000004E-2"/>
    <n v="10"/>
    <x v="97"/>
    <n v="11"/>
    <n v="22479"/>
    <x v="2"/>
    <n v="0.35717236557772974"/>
    <x v="3"/>
  </r>
  <r>
    <n v="299"/>
    <s v="CLIENT_299"/>
    <n v="49"/>
    <n v="39695"/>
    <n v="733692"/>
    <n v="0.105"/>
    <n v="25"/>
    <x v="165"/>
    <n v="7"/>
    <n v="22285"/>
    <x v="2"/>
    <n v="0.56140571860435828"/>
    <x v="3"/>
  </r>
  <r>
    <n v="300"/>
    <s v="CLIENT_300"/>
    <n v="60"/>
    <n v="28552"/>
    <n v="1858382"/>
    <n v="9.2999999999999999E-2"/>
    <n v="20"/>
    <x v="177"/>
    <n v="3"/>
    <n v="13914"/>
    <x v="1"/>
    <n v="0.48732137853740543"/>
    <x v="1"/>
  </r>
  <r>
    <n v="301"/>
    <s v="CLIENT_301"/>
    <n v="43"/>
    <n v="70860"/>
    <n v="1456653"/>
    <n v="0.10299999999999999"/>
    <n v="15"/>
    <x v="55"/>
    <n v="6"/>
    <n v="33092"/>
    <x v="1"/>
    <n v="0.46700536268698845"/>
    <x v="1"/>
  </r>
  <r>
    <n v="302"/>
    <s v="CLIENT_302"/>
    <n v="36"/>
    <n v="68705"/>
    <n v="1046461"/>
    <n v="0.11899999999999999"/>
    <n v="25"/>
    <x v="87"/>
    <n v="2"/>
    <n v="29801"/>
    <x v="2"/>
    <n v="0.4337530019649225"/>
    <x v="3"/>
  </r>
  <r>
    <n v="303"/>
    <s v="CLIENT_303"/>
    <n v="26"/>
    <n v="31906"/>
    <n v="1769528"/>
    <n v="9.6000000000000002E-2"/>
    <n v="15"/>
    <x v="89"/>
    <n v="1"/>
    <n v="45612"/>
    <x v="2"/>
    <n v="1.429574374725757"/>
    <x v="3"/>
  </r>
  <r>
    <n v="304"/>
    <s v="CLIENT_304"/>
    <n v="44"/>
    <n v="112403"/>
    <n v="1671335"/>
    <n v="0.108"/>
    <n v="25"/>
    <x v="56"/>
    <n v="3"/>
    <n v="32171"/>
    <x v="2"/>
    <n v="0.28621122212040606"/>
    <x v="3"/>
  </r>
  <r>
    <n v="305"/>
    <s v="CLIENT_305"/>
    <n v="33"/>
    <n v="100974"/>
    <n v="1956606"/>
    <n v="0.108"/>
    <n v="10"/>
    <x v="22"/>
    <n v="10"/>
    <n v="39578"/>
    <x v="1"/>
    <n v="0.39196228732148869"/>
    <x v="1"/>
  </r>
  <r>
    <n v="306"/>
    <s v="CLIENT_306"/>
    <n v="43"/>
    <n v="68821"/>
    <n v="744959"/>
    <n v="0.10100000000000001"/>
    <n v="20"/>
    <x v="134"/>
    <n v="9"/>
    <n v="42848"/>
    <x v="1"/>
    <n v="0.62260065968236444"/>
    <x v="1"/>
  </r>
  <r>
    <n v="307"/>
    <s v="CLIENT_307"/>
    <n v="22"/>
    <n v="75209"/>
    <n v="1668993"/>
    <n v="0.104"/>
    <n v="10"/>
    <x v="85"/>
    <n v="1"/>
    <n v="23767"/>
    <x v="1"/>
    <n v="0.31601271124466485"/>
    <x v="2"/>
  </r>
  <r>
    <n v="308"/>
    <s v="CLIENT_308"/>
    <n v="54"/>
    <n v="27163"/>
    <n v="1062592"/>
    <n v="0.1"/>
    <n v="30"/>
    <x v="82"/>
    <n v="3"/>
    <n v="48926"/>
    <x v="2"/>
    <n v="1.8012001619850533"/>
    <x v="3"/>
  </r>
  <r>
    <n v="309"/>
    <s v="CLIENT_309"/>
    <n v="59"/>
    <n v="35638"/>
    <n v="1250219"/>
    <n v="9.7000000000000003E-2"/>
    <n v="25"/>
    <x v="165"/>
    <n v="6"/>
    <n v="29066"/>
    <x v="2"/>
    <n v="0.81559010045457092"/>
    <x v="3"/>
  </r>
  <r>
    <n v="310"/>
    <s v="CLIENT_310"/>
    <n v="20"/>
    <n v="75264"/>
    <n v="1995418"/>
    <n v="8.1000000000000003E-2"/>
    <n v="30"/>
    <x v="178"/>
    <n v="8"/>
    <n v="13117"/>
    <x v="1"/>
    <n v="0.17427986819727892"/>
    <x v="2"/>
  </r>
  <r>
    <n v="311"/>
    <s v="CLIENT_311"/>
    <n v="41"/>
    <n v="112631"/>
    <n v="2238438"/>
    <n v="0.114"/>
    <n v="30"/>
    <x v="179"/>
    <n v="15"/>
    <n v="47049"/>
    <x v="2"/>
    <n v="0.41772691354955566"/>
    <x v="3"/>
  </r>
  <r>
    <n v="312"/>
    <s v="CLIENT_312"/>
    <n v="49"/>
    <n v="54378"/>
    <n v="2421491"/>
    <n v="9.0999999999999998E-2"/>
    <n v="30"/>
    <x v="179"/>
    <n v="14"/>
    <n v="19512"/>
    <x v="2"/>
    <n v="0.35882158225753064"/>
    <x v="3"/>
  </r>
  <r>
    <n v="313"/>
    <s v="CLIENT_313"/>
    <n v="46"/>
    <n v="65677"/>
    <n v="1176457"/>
    <n v="8.4000000000000005E-2"/>
    <n v="10"/>
    <x v="105"/>
    <n v="11"/>
    <n v="12515"/>
    <x v="2"/>
    <n v="0.19055377072643392"/>
    <x v="5"/>
  </r>
  <r>
    <n v="314"/>
    <s v="CLIENT_314"/>
    <n v="35"/>
    <n v="50346"/>
    <n v="1241244"/>
    <n v="0.115"/>
    <n v="15"/>
    <x v="0"/>
    <n v="15"/>
    <n v="33635"/>
    <x v="2"/>
    <n v="0.66807690779803763"/>
    <x v="3"/>
  </r>
  <r>
    <n v="315"/>
    <s v="CLIENT_315"/>
    <n v="46"/>
    <n v="59285"/>
    <n v="664608"/>
    <n v="0.11"/>
    <n v="10"/>
    <x v="137"/>
    <n v="1"/>
    <n v="17088"/>
    <x v="2"/>
    <n v="0.2882347980096146"/>
    <x v="3"/>
  </r>
  <r>
    <n v="316"/>
    <s v="CLIENT_316"/>
    <n v="60"/>
    <n v="67811"/>
    <n v="2287152"/>
    <n v="0.08"/>
    <n v="30"/>
    <x v="112"/>
    <n v="1"/>
    <n v="6657"/>
    <x v="2"/>
    <n v="9.8169913435873238E-2"/>
    <x v="3"/>
  </r>
  <r>
    <n v="317"/>
    <s v="CLIENT_317"/>
    <n v="21"/>
    <n v="15110"/>
    <n v="1908850"/>
    <n v="8.4000000000000005E-2"/>
    <n v="30"/>
    <x v="180"/>
    <n v="12"/>
    <n v="11122"/>
    <x v="1"/>
    <n v="0.73606882859033751"/>
    <x v="2"/>
  </r>
  <r>
    <n v="318"/>
    <s v="CLIENT_318"/>
    <n v="57"/>
    <n v="118152"/>
    <n v="1388537"/>
    <n v="0.106"/>
    <n v="15"/>
    <x v="181"/>
    <n v="8"/>
    <n v="10043"/>
    <x v="0"/>
    <n v="8.500067709391293E-2"/>
    <x v="4"/>
  </r>
  <r>
    <n v="319"/>
    <s v="CLIENT_319"/>
    <n v="25"/>
    <n v="118391"/>
    <n v="1829469"/>
    <n v="8.8999999999999996E-2"/>
    <n v="10"/>
    <x v="182"/>
    <n v="9"/>
    <n v="33004"/>
    <x v="2"/>
    <n v="0.27877119037764697"/>
    <x v="3"/>
  </r>
  <r>
    <n v="320"/>
    <s v="CLIENT_320"/>
    <n v="31"/>
    <n v="54263"/>
    <n v="2281881"/>
    <n v="9.8000000000000004E-2"/>
    <n v="15"/>
    <x v="178"/>
    <n v="14"/>
    <n v="41565"/>
    <x v="2"/>
    <n v="0.76599155962626464"/>
    <x v="3"/>
  </r>
  <r>
    <n v="321"/>
    <s v="CLIENT_321"/>
    <n v="20"/>
    <n v="82114"/>
    <n v="1643131"/>
    <n v="9.1999999999999998E-2"/>
    <n v="10"/>
    <x v="136"/>
    <n v="12"/>
    <n v="12519"/>
    <x v="1"/>
    <n v="0.15245877682246634"/>
    <x v="2"/>
  </r>
  <r>
    <n v="322"/>
    <s v="CLIENT_322"/>
    <n v="24"/>
    <n v="66176"/>
    <n v="871954"/>
    <n v="0.11899999999999999"/>
    <n v="20"/>
    <x v="147"/>
    <n v="2"/>
    <n v="48795"/>
    <x v="1"/>
    <n v="0.73735191005802703"/>
    <x v="2"/>
  </r>
  <r>
    <n v="323"/>
    <s v="CLIENT_323"/>
    <n v="41"/>
    <n v="89640"/>
    <n v="1026886"/>
    <n v="0.106"/>
    <n v="20"/>
    <x v="110"/>
    <n v="5"/>
    <n v="32327"/>
    <x v="2"/>
    <n v="0.3606314145470772"/>
    <x v="3"/>
  </r>
  <r>
    <n v="324"/>
    <s v="CLIENT_324"/>
    <n v="45"/>
    <n v="110889"/>
    <n v="697469"/>
    <n v="0.11600000000000001"/>
    <n v="10"/>
    <x v="147"/>
    <n v="14"/>
    <n v="47616"/>
    <x v="2"/>
    <n v="0.42940237534832132"/>
    <x v="3"/>
  </r>
  <r>
    <n v="325"/>
    <s v="CLIENT_325"/>
    <n v="60"/>
    <n v="66025"/>
    <n v="1691874"/>
    <n v="0.106"/>
    <n v="25"/>
    <x v="183"/>
    <n v="6"/>
    <n v="21291"/>
    <x v="1"/>
    <n v="0.32246876183263917"/>
    <x v="1"/>
  </r>
  <r>
    <n v="326"/>
    <s v="CLIENT_326"/>
    <n v="65"/>
    <n v="82266"/>
    <n v="2367412"/>
    <n v="8.7999999999999995E-2"/>
    <n v="15"/>
    <x v="164"/>
    <n v="15"/>
    <n v="21389"/>
    <x v="1"/>
    <n v="0.25999805508958745"/>
    <x v="1"/>
  </r>
  <r>
    <n v="327"/>
    <s v="CLIENT_327"/>
    <n v="44"/>
    <n v="41580"/>
    <n v="949854"/>
    <n v="0.11600000000000001"/>
    <n v="10"/>
    <x v="126"/>
    <n v="11"/>
    <n v="40731"/>
    <x v="2"/>
    <n v="0.97958152958152955"/>
    <x v="3"/>
  </r>
  <r>
    <n v="328"/>
    <s v="CLIENT_328"/>
    <n v="59"/>
    <n v="69622"/>
    <n v="790480"/>
    <n v="0.1"/>
    <n v="20"/>
    <x v="184"/>
    <n v="7"/>
    <n v="396"/>
    <x v="0"/>
    <n v="5.6878572864899023E-3"/>
    <x v="4"/>
  </r>
  <r>
    <n v="329"/>
    <s v="CLIENT_329"/>
    <n v="46"/>
    <n v="48302"/>
    <n v="1259586"/>
    <n v="0.09"/>
    <n v="20"/>
    <x v="138"/>
    <n v="0"/>
    <n v="764"/>
    <x v="0"/>
    <n v="1.5817150428553684E-2"/>
    <x v="0"/>
  </r>
  <r>
    <n v="330"/>
    <s v="CLIENT_330"/>
    <n v="60"/>
    <n v="78722"/>
    <n v="1216134"/>
    <n v="0.09"/>
    <n v="10"/>
    <x v="185"/>
    <n v="6"/>
    <n v="34412"/>
    <x v="2"/>
    <n v="0.43713320291659258"/>
    <x v="3"/>
  </r>
  <r>
    <n v="331"/>
    <s v="CLIENT_331"/>
    <n v="56"/>
    <n v="88195"/>
    <n v="1650784"/>
    <n v="0.11"/>
    <n v="30"/>
    <x v="117"/>
    <n v="4"/>
    <n v="34188"/>
    <x v="2"/>
    <n v="0.38764102273371509"/>
    <x v="3"/>
  </r>
  <r>
    <n v="332"/>
    <s v="CLIENT_332"/>
    <n v="39"/>
    <n v="45425"/>
    <n v="640690"/>
    <n v="9.5000000000000001E-2"/>
    <n v="15"/>
    <x v="186"/>
    <n v="6"/>
    <n v="26059"/>
    <x v="2"/>
    <n v="0.5736708860759494"/>
    <x v="3"/>
  </r>
  <r>
    <n v="333"/>
    <s v="CLIENT_333"/>
    <n v="56"/>
    <n v="28747"/>
    <n v="654424"/>
    <n v="9.2999999999999999E-2"/>
    <n v="25"/>
    <x v="128"/>
    <n v="10"/>
    <n v="14268"/>
    <x v="1"/>
    <n v="0.49633005183149548"/>
    <x v="1"/>
  </r>
  <r>
    <n v="334"/>
    <s v="CLIENT_334"/>
    <n v="28"/>
    <n v="27838"/>
    <n v="599957"/>
    <n v="8.6999999999999994E-2"/>
    <n v="30"/>
    <x v="114"/>
    <n v="1"/>
    <n v="27099"/>
    <x v="2"/>
    <n v="0.97345355269775125"/>
    <x v="3"/>
  </r>
  <r>
    <n v="335"/>
    <s v="CLIENT_335"/>
    <n v="42"/>
    <n v="48088"/>
    <n v="598152"/>
    <n v="0.10100000000000001"/>
    <n v="30"/>
    <x v="149"/>
    <n v="3"/>
    <n v="2346"/>
    <x v="0"/>
    <n v="4.8785559807020464E-2"/>
    <x v="4"/>
  </r>
  <r>
    <n v="336"/>
    <s v="CLIENT_336"/>
    <n v="25"/>
    <n v="31439"/>
    <n v="1472232"/>
    <n v="8.3000000000000004E-2"/>
    <n v="15"/>
    <x v="146"/>
    <n v="8"/>
    <n v="15464"/>
    <x v="2"/>
    <n v="0.49187315118165337"/>
    <x v="3"/>
  </r>
  <r>
    <n v="337"/>
    <s v="CLIENT_337"/>
    <n v="65"/>
    <n v="90205"/>
    <n v="2030913"/>
    <n v="8.2000000000000003E-2"/>
    <n v="15"/>
    <x v="78"/>
    <n v="15"/>
    <n v="1626"/>
    <x v="0"/>
    <n v="1.8025608336566711E-2"/>
    <x v="4"/>
  </r>
  <r>
    <n v="338"/>
    <s v="CLIENT_338"/>
    <n v="29"/>
    <n v="27659"/>
    <n v="2032337"/>
    <n v="0.12"/>
    <n v="30"/>
    <x v="116"/>
    <n v="4"/>
    <n v="38219"/>
    <x v="2"/>
    <n v="1.3817925449220869"/>
    <x v="3"/>
  </r>
  <r>
    <n v="339"/>
    <s v="CLIENT_339"/>
    <n v="59"/>
    <n v="86242"/>
    <n v="1087913"/>
    <n v="8.3000000000000004E-2"/>
    <n v="25"/>
    <x v="79"/>
    <n v="8"/>
    <n v="15840"/>
    <x v="2"/>
    <n v="0.18366920989772964"/>
    <x v="3"/>
  </r>
  <r>
    <n v="340"/>
    <s v="CLIENT_340"/>
    <n v="52"/>
    <n v="101809"/>
    <n v="2206342"/>
    <n v="0.104"/>
    <n v="15"/>
    <x v="8"/>
    <n v="12"/>
    <n v="16094"/>
    <x v="1"/>
    <n v="0.15808032688662102"/>
    <x v="1"/>
  </r>
  <r>
    <n v="341"/>
    <s v="CLIENT_341"/>
    <n v="55"/>
    <n v="80144"/>
    <n v="1971382"/>
    <n v="0.1"/>
    <n v="10"/>
    <x v="187"/>
    <n v="12"/>
    <n v="39710"/>
    <x v="2"/>
    <n v="0.49548313036534236"/>
    <x v="5"/>
  </r>
  <r>
    <n v="342"/>
    <s v="CLIENT_342"/>
    <n v="22"/>
    <n v="43981"/>
    <n v="1782786"/>
    <n v="9.0999999999999998E-2"/>
    <n v="20"/>
    <x v="15"/>
    <n v="5"/>
    <n v="40274"/>
    <x v="1"/>
    <n v="0.91571360360155518"/>
    <x v="2"/>
  </r>
  <r>
    <n v="343"/>
    <s v="CLIENT_343"/>
    <n v="40"/>
    <n v="49277"/>
    <n v="1219319"/>
    <n v="0.104"/>
    <n v="10"/>
    <x v="132"/>
    <n v="5"/>
    <n v="20692"/>
    <x v="2"/>
    <n v="0.41991192645656189"/>
    <x v="3"/>
  </r>
  <r>
    <n v="344"/>
    <s v="CLIENT_344"/>
    <n v="61"/>
    <n v="86369"/>
    <n v="1854477"/>
    <n v="9.8000000000000004E-2"/>
    <n v="30"/>
    <x v="171"/>
    <n v="14"/>
    <n v="27761"/>
    <x v="2"/>
    <n v="0.32142319582257523"/>
    <x v="3"/>
  </r>
  <r>
    <n v="345"/>
    <s v="CLIENT_345"/>
    <n v="59"/>
    <n v="61618"/>
    <n v="1983605"/>
    <n v="0.104"/>
    <n v="10"/>
    <x v="65"/>
    <n v="11"/>
    <n v="37973"/>
    <x v="1"/>
    <n v="0.61626472783926778"/>
    <x v="1"/>
  </r>
  <r>
    <n v="346"/>
    <s v="CLIENT_346"/>
    <n v="39"/>
    <n v="17219"/>
    <n v="1796050"/>
    <n v="8.2000000000000003E-2"/>
    <n v="15"/>
    <x v="123"/>
    <n v="15"/>
    <n v="32781"/>
    <x v="1"/>
    <n v="1.9037690922817818"/>
    <x v="1"/>
  </r>
  <r>
    <n v="347"/>
    <s v="CLIENT_347"/>
    <n v="28"/>
    <n v="22772"/>
    <n v="1077287"/>
    <n v="0.115"/>
    <n v="10"/>
    <x v="188"/>
    <n v="3"/>
    <n v="4009"/>
    <x v="0"/>
    <n v="0.17604953451607236"/>
    <x v="4"/>
  </r>
  <r>
    <n v="348"/>
    <s v="CLIENT_348"/>
    <n v="24"/>
    <n v="118254"/>
    <n v="725327"/>
    <n v="0.11700000000000001"/>
    <n v="10"/>
    <x v="186"/>
    <n v="15"/>
    <n v="20680"/>
    <x v="1"/>
    <n v="0.17487780540193143"/>
    <x v="2"/>
  </r>
  <r>
    <n v="349"/>
    <s v="CLIENT_349"/>
    <n v="44"/>
    <n v="15150"/>
    <n v="2334252"/>
    <n v="8.2000000000000003E-2"/>
    <n v="20"/>
    <x v="94"/>
    <n v="4"/>
    <n v="49565"/>
    <x v="1"/>
    <n v="3.2716171617161716"/>
    <x v="1"/>
  </r>
  <r>
    <n v="350"/>
    <s v="CLIENT_350"/>
    <n v="55"/>
    <n v="73445"/>
    <n v="1043288"/>
    <n v="0.107"/>
    <n v="10"/>
    <x v="2"/>
    <n v="12"/>
    <n v="30278"/>
    <x v="1"/>
    <n v="0.41225406766968481"/>
    <x v="1"/>
  </r>
  <r>
    <n v="351"/>
    <s v="CLIENT_351"/>
    <n v="37"/>
    <n v="85676"/>
    <n v="550949"/>
    <n v="0.105"/>
    <n v="30"/>
    <x v="189"/>
    <n v="15"/>
    <n v="26056"/>
    <x v="2"/>
    <n v="0.30412250805359725"/>
    <x v="3"/>
  </r>
  <r>
    <n v="352"/>
    <s v="CLIENT_352"/>
    <n v="57"/>
    <n v="25406"/>
    <n v="2490850"/>
    <n v="0.11799999999999999"/>
    <n v="10"/>
    <x v="133"/>
    <n v="4"/>
    <n v="41012"/>
    <x v="2"/>
    <n v="1.6142643470046445"/>
    <x v="3"/>
  </r>
  <r>
    <n v="353"/>
    <s v="CLIENT_353"/>
    <n v="26"/>
    <n v="118585"/>
    <n v="1299191"/>
    <n v="9.4E-2"/>
    <n v="20"/>
    <x v="44"/>
    <n v="7"/>
    <n v="40204"/>
    <x v="1"/>
    <n v="0.33903107475650379"/>
    <x v="1"/>
  </r>
  <r>
    <n v="354"/>
    <s v="CLIENT_354"/>
    <n v="50"/>
    <n v="58716"/>
    <n v="1600710"/>
    <n v="0.114"/>
    <n v="30"/>
    <x v="72"/>
    <n v="7"/>
    <n v="32788"/>
    <x v="2"/>
    <n v="0.55841678588459709"/>
    <x v="3"/>
  </r>
  <r>
    <n v="355"/>
    <s v="CLIENT_355"/>
    <n v="44"/>
    <n v="72651"/>
    <n v="910350"/>
    <n v="9.9000000000000005E-2"/>
    <n v="25"/>
    <x v="190"/>
    <n v="13"/>
    <n v="37436"/>
    <x v="2"/>
    <n v="0.51528540556909064"/>
    <x v="5"/>
  </r>
  <r>
    <n v="356"/>
    <s v="CLIENT_356"/>
    <n v="44"/>
    <n v="19208"/>
    <n v="1897185"/>
    <n v="9.7000000000000003E-2"/>
    <n v="20"/>
    <x v="191"/>
    <n v="8"/>
    <n v="47531"/>
    <x v="2"/>
    <n v="2.4745418575593501"/>
    <x v="3"/>
  </r>
  <r>
    <n v="357"/>
    <s v="CLIENT_357"/>
    <n v="46"/>
    <n v="95359"/>
    <n v="929576"/>
    <n v="9.1999999999999998E-2"/>
    <n v="25"/>
    <x v="106"/>
    <n v="6"/>
    <n v="47725"/>
    <x v="2"/>
    <n v="0.50047714426535517"/>
    <x v="5"/>
  </r>
  <r>
    <n v="358"/>
    <s v="CLIENT_358"/>
    <n v="37"/>
    <n v="59611"/>
    <n v="1589174"/>
    <n v="8.4000000000000005E-2"/>
    <n v="15"/>
    <x v="151"/>
    <n v="2"/>
    <n v="44265"/>
    <x v="1"/>
    <n v="0.74256429182533423"/>
    <x v="1"/>
  </r>
  <r>
    <n v="359"/>
    <s v="CLIENT_359"/>
    <n v="49"/>
    <n v="99813"/>
    <n v="2303716"/>
    <n v="0.113"/>
    <n v="30"/>
    <x v="101"/>
    <n v="13"/>
    <n v="15646"/>
    <x v="2"/>
    <n v="0.15675312835001454"/>
    <x v="3"/>
  </r>
  <r>
    <n v="360"/>
    <s v="CLIENT_360"/>
    <n v="23"/>
    <n v="39567"/>
    <n v="1010997"/>
    <n v="0.114"/>
    <n v="25"/>
    <x v="192"/>
    <n v="8"/>
    <n v="29479"/>
    <x v="1"/>
    <n v="0.74504005863472089"/>
    <x v="2"/>
  </r>
  <r>
    <n v="361"/>
    <s v="CLIENT_361"/>
    <n v="53"/>
    <n v="50557"/>
    <n v="606025"/>
    <n v="0.09"/>
    <n v="15"/>
    <x v="169"/>
    <n v="7"/>
    <n v="30586"/>
    <x v="2"/>
    <n v="0.60498051704017253"/>
    <x v="3"/>
  </r>
  <r>
    <n v="362"/>
    <s v="CLIENT_362"/>
    <n v="40"/>
    <n v="33092"/>
    <n v="2005983"/>
    <n v="0.11600000000000001"/>
    <n v="20"/>
    <x v="177"/>
    <n v="5"/>
    <n v="28644"/>
    <x v="1"/>
    <n v="0.86558684878520487"/>
    <x v="1"/>
  </r>
  <r>
    <n v="363"/>
    <s v="CLIENT_363"/>
    <n v="48"/>
    <n v="74835"/>
    <n v="2482397"/>
    <n v="9.6000000000000002E-2"/>
    <n v="15"/>
    <x v="184"/>
    <n v="10"/>
    <n v="21618"/>
    <x v="2"/>
    <n v="0.28887552615754658"/>
    <x v="3"/>
  </r>
  <r>
    <n v="364"/>
    <s v="CLIENT_364"/>
    <n v="42"/>
    <n v="101794"/>
    <n v="2337063"/>
    <n v="0.1"/>
    <n v="10"/>
    <x v="67"/>
    <n v="13"/>
    <n v="30656"/>
    <x v="2"/>
    <n v="0.30115723913000764"/>
    <x v="3"/>
  </r>
  <r>
    <n v="365"/>
    <s v="CLIENT_365"/>
    <n v="58"/>
    <n v="73858"/>
    <n v="1814411"/>
    <n v="0.107"/>
    <n v="15"/>
    <x v="193"/>
    <n v="12"/>
    <n v="31941"/>
    <x v="1"/>
    <n v="0.43246500040618485"/>
    <x v="1"/>
  </r>
  <r>
    <n v="366"/>
    <s v="CLIENT_366"/>
    <n v="39"/>
    <n v="118984"/>
    <n v="2406341"/>
    <n v="0.106"/>
    <n v="20"/>
    <x v="156"/>
    <n v="12"/>
    <n v="38704"/>
    <x v="2"/>
    <n v="0.32528743360451823"/>
    <x v="3"/>
  </r>
  <r>
    <n v="367"/>
    <s v="CLIENT_367"/>
    <n v="57"/>
    <n v="78963"/>
    <n v="1158843"/>
    <n v="0.1"/>
    <n v="30"/>
    <x v="97"/>
    <n v="8"/>
    <n v="43684"/>
    <x v="2"/>
    <n v="0.55322112888314778"/>
    <x v="3"/>
  </r>
  <r>
    <n v="368"/>
    <s v="CLIENT_368"/>
    <n v="61"/>
    <n v="73937"/>
    <n v="1750519"/>
    <n v="9.2999999999999999E-2"/>
    <n v="15"/>
    <x v="111"/>
    <n v="4"/>
    <n v="13989"/>
    <x v="1"/>
    <n v="0.18920161759335652"/>
    <x v="1"/>
  </r>
  <r>
    <n v="369"/>
    <s v="CLIENT_369"/>
    <n v="35"/>
    <n v="104807"/>
    <n v="590543"/>
    <n v="9.1999999999999998E-2"/>
    <n v="25"/>
    <x v="18"/>
    <n v="13"/>
    <n v="19406"/>
    <x v="2"/>
    <n v="0.18515938820880284"/>
    <x v="3"/>
  </r>
  <r>
    <n v="370"/>
    <s v="CLIENT_370"/>
    <n v="22"/>
    <n v="36853"/>
    <n v="1500242"/>
    <n v="9.0999999999999998E-2"/>
    <n v="15"/>
    <x v="194"/>
    <n v="6"/>
    <n v="11021"/>
    <x v="1"/>
    <n v="0.29905299432881993"/>
    <x v="2"/>
  </r>
  <r>
    <n v="371"/>
    <s v="CLIENT_371"/>
    <n v="36"/>
    <n v="34280"/>
    <n v="563477"/>
    <n v="9.7000000000000003E-2"/>
    <n v="15"/>
    <x v="160"/>
    <n v="2"/>
    <n v="42949"/>
    <x v="2"/>
    <n v="1.2528879813302216"/>
    <x v="3"/>
  </r>
  <r>
    <n v="372"/>
    <s v="CLIENT_372"/>
    <n v="46"/>
    <n v="61205"/>
    <n v="1169857"/>
    <n v="9.1999999999999998E-2"/>
    <n v="20"/>
    <x v="153"/>
    <n v="9"/>
    <n v="24443"/>
    <x v="2"/>
    <n v="0.399362797157095"/>
    <x v="3"/>
  </r>
  <r>
    <n v="373"/>
    <s v="CLIENT_373"/>
    <n v="29"/>
    <n v="72057"/>
    <n v="824129"/>
    <n v="8.5999999999999993E-2"/>
    <n v="25"/>
    <x v="78"/>
    <n v="2"/>
    <n v="29737"/>
    <x v="2"/>
    <n v="0.41268717820614237"/>
    <x v="3"/>
  </r>
  <r>
    <n v="374"/>
    <s v="CLIENT_374"/>
    <n v="63"/>
    <n v="96290"/>
    <n v="1515601"/>
    <n v="8.1000000000000003E-2"/>
    <n v="15"/>
    <x v="189"/>
    <n v="15"/>
    <n v="1059"/>
    <x v="0"/>
    <n v="1.0998026794059611E-2"/>
    <x v="4"/>
  </r>
  <r>
    <n v="375"/>
    <s v="CLIENT_375"/>
    <n v="24"/>
    <n v="43101"/>
    <n v="1451588"/>
    <n v="0.1"/>
    <n v="10"/>
    <x v="144"/>
    <n v="12"/>
    <n v="26232"/>
    <x v="1"/>
    <n v="0.60861696944386445"/>
    <x v="2"/>
  </r>
  <r>
    <n v="376"/>
    <s v="CLIENT_376"/>
    <n v="61"/>
    <n v="115378"/>
    <n v="2336753"/>
    <n v="8.6999999999999994E-2"/>
    <n v="25"/>
    <x v="0"/>
    <n v="6"/>
    <n v="35777"/>
    <x v="2"/>
    <n v="0.31008511154639534"/>
    <x v="3"/>
  </r>
  <r>
    <n v="377"/>
    <s v="CLIENT_377"/>
    <n v="20"/>
    <n v="74992"/>
    <n v="1000426"/>
    <n v="0.106"/>
    <n v="30"/>
    <x v="162"/>
    <n v="5"/>
    <n v="29838"/>
    <x v="1"/>
    <n v="0.39788244079368468"/>
    <x v="2"/>
  </r>
  <r>
    <n v="378"/>
    <s v="CLIENT_378"/>
    <n v="50"/>
    <n v="102645"/>
    <n v="2397193"/>
    <n v="9.4E-2"/>
    <n v="25"/>
    <x v="132"/>
    <n v="7"/>
    <n v="35942"/>
    <x v="2"/>
    <n v="0.35015831263091235"/>
    <x v="3"/>
  </r>
  <r>
    <n v="379"/>
    <s v="CLIENT_379"/>
    <n v="22"/>
    <n v="43304"/>
    <n v="1674030"/>
    <n v="9.1999999999999998E-2"/>
    <n v="30"/>
    <x v="195"/>
    <n v="10"/>
    <n v="40689"/>
    <x v="1"/>
    <n v="0.93961296877886569"/>
    <x v="2"/>
  </r>
  <r>
    <n v="380"/>
    <s v="CLIENT_380"/>
    <n v="35"/>
    <n v="56121"/>
    <n v="2390364"/>
    <n v="8.5000000000000006E-2"/>
    <n v="20"/>
    <x v="97"/>
    <n v="5"/>
    <n v="4401"/>
    <x v="0"/>
    <n v="7.8419842839578771E-2"/>
    <x v="4"/>
  </r>
  <r>
    <n v="381"/>
    <s v="CLIENT_381"/>
    <n v="57"/>
    <n v="76001"/>
    <n v="1714721"/>
    <n v="0.1"/>
    <n v="30"/>
    <x v="112"/>
    <n v="15"/>
    <n v="37490"/>
    <x v="2"/>
    <n v="0.49328298311864316"/>
    <x v="3"/>
  </r>
  <r>
    <n v="382"/>
    <s v="CLIENT_382"/>
    <n v="25"/>
    <n v="83012"/>
    <n v="1234691"/>
    <n v="8.5000000000000006E-2"/>
    <n v="30"/>
    <x v="102"/>
    <n v="6"/>
    <n v="15661"/>
    <x v="2"/>
    <n v="0.18865947091986701"/>
    <x v="3"/>
  </r>
  <r>
    <n v="383"/>
    <s v="CLIENT_383"/>
    <n v="39"/>
    <n v="69681"/>
    <n v="1727244"/>
    <n v="8.5000000000000006E-2"/>
    <n v="10"/>
    <x v="63"/>
    <n v="12"/>
    <n v="32585"/>
    <x v="2"/>
    <n v="0.46763106155192952"/>
    <x v="5"/>
  </r>
  <r>
    <n v="384"/>
    <s v="CLIENT_384"/>
    <n v="62"/>
    <n v="77865"/>
    <n v="572623"/>
    <n v="0.08"/>
    <n v="20"/>
    <x v="131"/>
    <n v="0"/>
    <n v="46975"/>
    <x v="2"/>
    <n v="0.60328774160405829"/>
    <x v="3"/>
  </r>
  <r>
    <n v="385"/>
    <s v="CLIENT_385"/>
    <n v="35"/>
    <n v="17068"/>
    <n v="1988776"/>
    <n v="0.109"/>
    <n v="10"/>
    <x v="63"/>
    <n v="1"/>
    <n v="20041"/>
    <x v="2"/>
    <n v="1.1741856104991797"/>
    <x v="5"/>
  </r>
  <r>
    <n v="386"/>
    <s v="CLIENT_386"/>
    <n v="42"/>
    <n v="19345"/>
    <n v="1142236"/>
    <n v="9.7000000000000003E-2"/>
    <n v="10"/>
    <x v="161"/>
    <n v="5"/>
    <n v="8233"/>
    <x v="1"/>
    <n v="0.42558800723701212"/>
    <x v="1"/>
  </r>
  <r>
    <n v="387"/>
    <s v="CLIENT_387"/>
    <n v="59"/>
    <n v="29599"/>
    <n v="1625423"/>
    <n v="0.104"/>
    <n v="15"/>
    <x v="118"/>
    <n v="0"/>
    <n v="46206"/>
    <x v="2"/>
    <n v="1.5610662522382512"/>
    <x v="3"/>
  </r>
  <r>
    <n v="388"/>
    <s v="CLIENT_388"/>
    <n v="60"/>
    <n v="35118"/>
    <n v="2136373"/>
    <n v="9.7000000000000003E-2"/>
    <n v="10"/>
    <x v="32"/>
    <n v="6"/>
    <n v="37784"/>
    <x v="2"/>
    <n v="1.0759154849364998"/>
    <x v="5"/>
  </r>
  <r>
    <n v="389"/>
    <s v="CLIENT_389"/>
    <n v="49"/>
    <n v="91423"/>
    <n v="1953049"/>
    <n v="0.12"/>
    <n v="15"/>
    <x v="130"/>
    <n v="11"/>
    <n v="15522"/>
    <x v="2"/>
    <n v="0.16978222110409852"/>
    <x v="3"/>
  </r>
  <r>
    <n v="390"/>
    <s v="CLIENT_390"/>
    <n v="65"/>
    <n v="53033"/>
    <n v="1831330"/>
    <n v="0.11799999999999999"/>
    <n v="25"/>
    <x v="42"/>
    <n v="14"/>
    <n v="27057"/>
    <x v="2"/>
    <n v="0.51019176739011562"/>
    <x v="3"/>
  </r>
  <r>
    <n v="391"/>
    <s v="CLIENT_391"/>
    <n v="39"/>
    <n v="45335"/>
    <n v="1830209"/>
    <n v="8.6999999999999994E-2"/>
    <n v="20"/>
    <x v="196"/>
    <n v="4"/>
    <n v="15613"/>
    <x v="2"/>
    <n v="0.34439175030329766"/>
    <x v="3"/>
  </r>
  <r>
    <n v="392"/>
    <s v="CLIENT_392"/>
    <n v="36"/>
    <n v="81556"/>
    <n v="2187487"/>
    <n v="8.5000000000000006E-2"/>
    <n v="15"/>
    <x v="32"/>
    <n v="13"/>
    <n v="42353"/>
    <x v="2"/>
    <n v="0.51931188385894356"/>
    <x v="5"/>
  </r>
  <r>
    <n v="393"/>
    <s v="CLIENT_393"/>
    <n v="34"/>
    <n v="92113"/>
    <n v="2001856"/>
    <n v="0.11"/>
    <n v="15"/>
    <x v="0"/>
    <n v="3"/>
    <n v="37896"/>
    <x v="2"/>
    <n v="0.41140772746517862"/>
    <x v="3"/>
  </r>
  <r>
    <n v="394"/>
    <s v="CLIENT_394"/>
    <n v="33"/>
    <n v="73358"/>
    <n v="621415"/>
    <n v="9.1999999999999998E-2"/>
    <n v="10"/>
    <x v="197"/>
    <n v="12"/>
    <n v="44254"/>
    <x v="2"/>
    <n v="0.60326072139371301"/>
    <x v="3"/>
  </r>
  <r>
    <n v="395"/>
    <s v="CLIENT_395"/>
    <n v="60"/>
    <n v="78110"/>
    <n v="879420"/>
    <n v="0.09"/>
    <n v="15"/>
    <x v="198"/>
    <n v="14"/>
    <n v="32474"/>
    <x v="2"/>
    <n v="0.41574702342849829"/>
    <x v="3"/>
  </r>
  <r>
    <n v="396"/>
    <s v="CLIENT_396"/>
    <n v="50"/>
    <n v="50615"/>
    <n v="1049384"/>
    <n v="9.0999999999999998E-2"/>
    <n v="15"/>
    <x v="193"/>
    <n v="4"/>
    <n v="33164"/>
    <x v="1"/>
    <n v="0.65522078435246467"/>
    <x v="1"/>
  </r>
  <r>
    <n v="397"/>
    <s v="CLIENT_397"/>
    <n v="35"/>
    <n v="47091"/>
    <n v="1882799"/>
    <n v="0.10299999999999999"/>
    <n v="25"/>
    <x v="199"/>
    <n v="13"/>
    <n v="4240"/>
    <x v="0"/>
    <n v="9.0038436219235102E-2"/>
    <x v="4"/>
  </r>
  <r>
    <n v="398"/>
    <s v="CLIENT_398"/>
    <n v="45"/>
    <n v="49539"/>
    <n v="1183744"/>
    <n v="0.1"/>
    <n v="10"/>
    <x v="138"/>
    <n v="14"/>
    <n v="23506"/>
    <x v="2"/>
    <n v="0.47449484244736473"/>
    <x v="3"/>
  </r>
  <r>
    <n v="399"/>
    <s v="CLIENT_399"/>
    <n v="23"/>
    <n v="48396"/>
    <n v="2467902"/>
    <n v="0.111"/>
    <n v="25"/>
    <x v="81"/>
    <n v="15"/>
    <n v="7682"/>
    <x v="1"/>
    <n v="0.15873212662203487"/>
    <x v="2"/>
  </r>
  <r>
    <n v="400"/>
    <s v="CLIENT_400"/>
    <n v="52"/>
    <n v="63175"/>
    <n v="718952"/>
    <n v="0.107"/>
    <n v="10"/>
    <x v="200"/>
    <n v="6"/>
    <n v="1662"/>
    <x v="0"/>
    <n v="2.630787495053423E-2"/>
    <x v="0"/>
  </r>
  <r>
    <n v="401"/>
    <s v="CLIENT_401"/>
    <n v="20"/>
    <n v="17276"/>
    <n v="2196795"/>
    <n v="9.9000000000000005E-2"/>
    <n v="10"/>
    <x v="117"/>
    <n v="10"/>
    <n v="30971"/>
    <x v="1"/>
    <n v="1.7927182218106044"/>
    <x v="2"/>
  </r>
  <r>
    <n v="402"/>
    <s v="CLIENT_402"/>
    <n v="23"/>
    <n v="60718"/>
    <n v="1108713"/>
    <n v="9.9000000000000005E-2"/>
    <n v="25"/>
    <x v="201"/>
    <n v="15"/>
    <n v="23444"/>
    <x v="1"/>
    <n v="0.38611284956685005"/>
    <x v="2"/>
  </r>
  <r>
    <n v="403"/>
    <s v="CLIENT_403"/>
    <n v="59"/>
    <n v="22217"/>
    <n v="1174340"/>
    <n v="9.5000000000000001E-2"/>
    <n v="10"/>
    <x v="79"/>
    <n v="9"/>
    <n v="1382"/>
    <x v="0"/>
    <n v="6.2204618085250032E-2"/>
    <x v="0"/>
  </r>
  <r>
    <n v="404"/>
    <s v="CLIENT_404"/>
    <n v="33"/>
    <n v="118106"/>
    <n v="2179840"/>
    <n v="9.2999999999999999E-2"/>
    <n v="25"/>
    <x v="156"/>
    <n v="0"/>
    <n v="12866"/>
    <x v="0"/>
    <n v="0.10893604050598615"/>
    <x v="0"/>
  </r>
  <r>
    <n v="405"/>
    <s v="CLIENT_405"/>
    <n v="42"/>
    <n v="48282"/>
    <n v="2052127"/>
    <n v="0.106"/>
    <n v="30"/>
    <x v="202"/>
    <n v="1"/>
    <n v="4335"/>
    <x v="2"/>
    <n v="8.9785013048340995E-2"/>
    <x v="3"/>
  </r>
  <r>
    <n v="406"/>
    <s v="CLIENT_406"/>
    <n v="20"/>
    <n v="74399"/>
    <n v="1758284"/>
    <n v="8.6999999999999994E-2"/>
    <n v="20"/>
    <x v="181"/>
    <n v="3"/>
    <n v="47905"/>
    <x v="1"/>
    <n v="0.64389306307880478"/>
    <x v="2"/>
  </r>
  <r>
    <n v="407"/>
    <s v="CLIENT_407"/>
    <n v="24"/>
    <n v="34307"/>
    <n v="1105654"/>
    <n v="0.109"/>
    <n v="20"/>
    <x v="16"/>
    <n v="15"/>
    <n v="31624"/>
    <x v="1"/>
    <n v="0.92179438598536745"/>
    <x v="2"/>
  </r>
  <r>
    <n v="408"/>
    <s v="CLIENT_408"/>
    <n v="23"/>
    <n v="97802"/>
    <n v="1188979"/>
    <n v="8.8999999999999996E-2"/>
    <n v="25"/>
    <x v="52"/>
    <n v="1"/>
    <n v="4138"/>
    <x v="1"/>
    <n v="4.2309973211181774E-2"/>
    <x v="2"/>
  </r>
  <r>
    <n v="409"/>
    <s v="CLIENT_409"/>
    <n v="54"/>
    <n v="63850"/>
    <n v="670259"/>
    <n v="9.1999999999999998E-2"/>
    <n v="30"/>
    <x v="14"/>
    <n v="3"/>
    <n v="29045"/>
    <x v="2"/>
    <n v="0.45489428347689898"/>
    <x v="3"/>
  </r>
  <r>
    <n v="410"/>
    <s v="CLIENT_410"/>
    <n v="62"/>
    <n v="94585"/>
    <n v="2389910"/>
    <n v="0.106"/>
    <n v="15"/>
    <x v="116"/>
    <n v="7"/>
    <n v="8412"/>
    <x v="0"/>
    <n v="8.89358777818893E-2"/>
    <x v="4"/>
  </r>
  <r>
    <n v="411"/>
    <s v="CLIENT_411"/>
    <n v="63"/>
    <n v="87338"/>
    <n v="1235882"/>
    <n v="9.2999999999999999E-2"/>
    <n v="10"/>
    <x v="203"/>
    <n v="6"/>
    <n v="6606"/>
    <x v="0"/>
    <n v="7.5637179692688183E-2"/>
    <x v="4"/>
  </r>
  <r>
    <n v="412"/>
    <s v="CLIENT_412"/>
    <n v="25"/>
    <n v="71263"/>
    <n v="512770"/>
    <n v="0.114"/>
    <n v="15"/>
    <x v="141"/>
    <n v="5"/>
    <n v="36113"/>
    <x v="2"/>
    <n v="0.50675666194238245"/>
    <x v="3"/>
  </r>
  <r>
    <n v="413"/>
    <s v="CLIENT_413"/>
    <n v="52"/>
    <n v="60577"/>
    <n v="2440704"/>
    <n v="8.3000000000000004E-2"/>
    <n v="20"/>
    <x v="118"/>
    <n v="7"/>
    <n v="13325"/>
    <x v="0"/>
    <n v="0.21996797464384171"/>
    <x v="0"/>
  </r>
  <r>
    <n v="414"/>
    <s v="CLIENT_414"/>
    <n v="47"/>
    <n v="51749"/>
    <n v="1754360"/>
    <n v="0.10100000000000001"/>
    <n v="10"/>
    <x v="75"/>
    <n v="4"/>
    <n v="14553"/>
    <x v="2"/>
    <n v="0.28122282556184658"/>
    <x v="5"/>
  </r>
  <r>
    <n v="415"/>
    <s v="CLIENT_415"/>
    <n v="59"/>
    <n v="44227"/>
    <n v="1816034"/>
    <n v="9.6000000000000002E-2"/>
    <n v="10"/>
    <x v="109"/>
    <n v="2"/>
    <n v="4049"/>
    <x v="0"/>
    <n v="9.1550410382797834E-2"/>
    <x v="4"/>
  </r>
  <r>
    <n v="416"/>
    <s v="CLIENT_416"/>
    <n v="40"/>
    <n v="67721"/>
    <n v="2234469"/>
    <n v="0.11600000000000001"/>
    <n v="25"/>
    <x v="143"/>
    <n v="8"/>
    <n v="6147"/>
    <x v="0"/>
    <n v="9.0769480663309754E-2"/>
    <x v="4"/>
  </r>
  <r>
    <n v="417"/>
    <s v="CLIENT_417"/>
    <n v="27"/>
    <n v="56517"/>
    <n v="1348590"/>
    <n v="0.104"/>
    <n v="15"/>
    <x v="149"/>
    <n v="11"/>
    <n v="34103"/>
    <x v="2"/>
    <n v="0.60341136295273989"/>
    <x v="3"/>
  </r>
  <r>
    <n v="418"/>
    <s v="CLIENT_418"/>
    <n v="37"/>
    <n v="43883"/>
    <n v="1036477"/>
    <n v="0.1"/>
    <n v="20"/>
    <x v="50"/>
    <n v="7"/>
    <n v="48470"/>
    <x v="2"/>
    <n v="1.1045279493197822"/>
    <x v="5"/>
  </r>
  <r>
    <n v="419"/>
    <s v="CLIENT_419"/>
    <n v="29"/>
    <n v="20174"/>
    <n v="1538128"/>
    <n v="8.4000000000000005E-2"/>
    <n v="25"/>
    <x v="49"/>
    <n v="12"/>
    <n v="22982"/>
    <x v="1"/>
    <n v="1.1391890552195896"/>
    <x v="1"/>
  </r>
  <r>
    <n v="420"/>
    <s v="CLIENT_420"/>
    <n v="53"/>
    <n v="84867"/>
    <n v="982483"/>
    <n v="0.11899999999999999"/>
    <n v="15"/>
    <x v="204"/>
    <n v="9"/>
    <n v="6005"/>
    <x v="1"/>
    <n v="7.075777392861772E-2"/>
    <x v="1"/>
  </r>
  <r>
    <n v="421"/>
    <s v="CLIENT_421"/>
    <n v="43"/>
    <n v="68508"/>
    <n v="2105899"/>
    <n v="8.1000000000000003E-2"/>
    <n v="10"/>
    <x v="132"/>
    <n v="4"/>
    <n v="10471"/>
    <x v="0"/>
    <n v="0.15284346353710515"/>
    <x v="4"/>
  </r>
  <r>
    <n v="422"/>
    <s v="CLIENT_422"/>
    <n v="53"/>
    <n v="95892"/>
    <n v="1744925"/>
    <n v="8.4000000000000005E-2"/>
    <n v="25"/>
    <x v="64"/>
    <n v="7"/>
    <n v="38007"/>
    <x v="2"/>
    <n v="0.39635214616443498"/>
    <x v="3"/>
  </r>
  <r>
    <n v="423"/>
    <s v="CLIENT_423"/>
    <n v="60"/>
    <n v="87556"/>
    <n v="1861917"/>
    <n v="0.109"/>
    <n v="10"/>
    <x v="156"/>
    <n v="9"/>
    <n v="42727"/>
    <x v="2"/>
    <n v="0.48799625382612272"/>
    <x v="3"/>
  </r>
  <r>
    <n v="424"/>
    <s v="CLIENT_424"/>
    <n v="28"/>
    <n v="44486"/>
    <n v="807357"/>
    <n v="0.1"/>
    <n v="10"/>
    <x v="91"/>
    <n v="9"/>
    <n v="44162"/>
    <x v="1"/>
    <n v="0.99271680978285304"/>
    <x v="1"/>
  </r>
  <r>
    <n v="425"/>
    <s v="CLIENT_425"/>
    <n v="43"/>
    <n v="106212"/>
    <n v="1411002"/>
    <n v="0.115"/>
    <n v="25"/>
    <x v="147"/>
    <n v="11"/>
    <n v="41249"/>
    <x v="2"/>
    <n v="0.38836477987421386"/>
    <x v="3"/>
  </r>
  <r>
    <n v="426"/>
    <s v="CLIENT_426"/>
    <n v="49"/>
    <n v="74585"/>
    <n v="1474326"/>
    <n v="0.10299999999999999"/>
    <n v="30"/>
    <x v="205"/>
    <n v="14"/>
    <n v="3622"/>
    <x v="0"/>
    <n v="4.8562043306294829E-2"/>
    <x v="4"/>
  </r>
  <r>
    <n v="427"/>
    <s v="CLIENT_427"/>
    <n v="59"/>
    <n v="62912"/>
    <n v="1841177"/>
    <n v="8.4000000000000005E-2"/>
    <n v="30"/>
    <x v="206"/>
    <n v="7"/>
    <n v="9714"/>
    <x v="0"/>
    <n v="0.1544061546286877"/>
    <x v="4"/>
  </r>
  <r>
    <n v="428"/>
    <s v="CLIENT_428"/>
    <n v="22"/>
    <n v="114697"/>
    <n v="1538861"/>
    <n v="8.8999999999999996E-2"/>
    <n v="20"/>
    <x v="111"/>
    <n v="0"/>
    <n v="25245"/>
    <x v="1"/>
    <n v="0.22010165915411911"/>
    <x v="2"/>
  </r>
  <r>
    <n v="429"/>
    <s v="CLIENT_429"/>
    <n v="49"/>
    <n v="79148"/>
    <n v="2234802"/>
    <n v="8.4000000000000005E-2"/>
    <n v="15"/>
    <x v="119"/>
    <n v="9"/>
    <n v="37222"/>
    <x v="2"/>
    <n v="0.47028351948248848"/>
    <x v="3"/>
  </r>
  <r>
    <n v="430"/>
    <s v="CLIENT_430"/>
    <n v="64"/>
    <n v="74274"/>
    <n v="1065686"/>
    <n v="9.0999999999999998E-2"/>
    <n v="15"/>
    <x v="95"/>
    <n v="12"/>
    <n v="33098"/>
    <x v="2"/>
    <n v="0.44562027088887096"/>
    <x v="5"/>
  </r>
  <r>
    <n v="431"/>
    <s v="CLIENT_431"/>
    <n v="48"/>
    <n v="50965"/>
    <n v="1929540"/>
    <n v="0.09"/>
    <n v="15"/>
    <x v="39"/>
    <n v="12"/>
    <n v="11093"/>
    <x v="0"/>
    <n v="0.21765917786716374"/>
    <x v="4"/>
  </r>
  <r>
    <n v="432"/>
    <s v="CLIENT_432"/>
    <n v="58"/>
    <n v="36163"/>
    <n v="2142464"/>
    <n v="0.09"/>
    <n v="30"/>
    <x v="39"/>
    <n v="14"/>
    <n v="31440"/>
    <x v="2"/>
    <n v="0.86939689738130133"/>
    <x v="3"/>
  </r>
  <r>
    <n v="433"/>
    <s v="CLIENT_433"/>
    <n v="58"/>
    <n v="69719"/>
    <n v="2120376"/>
    <n v="0.109"/>
    <n v="25"/>
    <x v="86"/>
    <n v="0"/>
    <n v="19015"/>
    <x v="2"/>
    <n v="0.27273770421262494"/>
    <x v="3"/>
  </r>
  <r>
    <n v="434"/>
    <s v="CLIENT_434"/>
    <n v="58"/>
    <n v="103569"/>
    <n v="2357595"/>
    <n v="8.4000000000000005E-2"/>
    <n v="15"/>
    <x v="6"/>
    <n v="0"/>
    <n v="11012"/>
    <x v="2"/>
    <n v="0.10632525176452413"/>
    <x v="3"/>
  </r>
  <r>
    <n v="435"/>
    <s v="CLIENT_435"/>
    <n v="44"/>
    <n v="118268"/>
    <n v="777295"/>
    <n v="8.6999999999999994E-2"/>
    <n v="10"/>
    <x v="119"/>
    <n v="1"/>
    <n v="11079"/>
    <x v="2"/>
    <n v="9.3677072411810461E-2"/>
    <x v="3"/>
  </r>
  <r>
    <n v="436"/>
    <s v="CLIENT_436"/>
    <n v="26"/>
    <n v="87253"/>
    <n v="2282811"/>
    <n v="0.113"/>
    <n v="15"/>
    <x v="207"/>
    <n v="9"/>
    <n v="9181"/>
    <x v="0"/>
    <n v="0.1052227430575453"/>
    <x v="4"/>
  </r>
  <r>
    <n v="437"/>
    <s v="CLIENT_437"/>
    <n v="34"/>
    <n v="83266"/>
    <n v="1222501"/>
    <n v="0.10299999999999999"/>
    <n v="30"/>
    <x v="155"/>
    <n v="5"/>
    <n v="25158"/>
    <x v="2"/>
    <n v="0.3021401292244133"/>
    <x v="3"/>
  </r>
  <r>
    <n v="438"/>
    <s v="CLIENT_438"/>
    <n v="38"/>
    <n v="76523"/>
    <n v="1274383"/>
    <n v="9.1999999999999998E-2"/>
    <n v="15"/>
    <x v="121"/>
    <n v="3"/>
    <n v="29786"/>
    <x v="2"/>
    <n v="0.38924244998235824"/>
    <x v="5"/>
  </r>
  <r>
    <n v="439"/>
    <s v="CLIENT_439"/>
    <n v="51"/>
    <n v="79254"/>
    <n v="1957672"/>
    <n v="0.09"/>
    <n v="20"/>
    <x v="147"/>
    <n v="5"/>
    <n v="30728"/>
    <x v="2"/>
    <n v="0.38771544653897594"/>
    <x v="3"/>
  </r>
  <r>
    <n v="440"/>
    <s v="CLIENT_440"/>
    <n v="49"/>
    <n v="83672"/>
    <n v="2150936"/>
    <n v="0.113"/>
    <n v="30"/>
    <x v="208"/>
    <n v="0"/>
    <n v="29741"/>
    <x v="2"/>
    <n v="0.35544746151639733"/>
    <x v="5"/>
  </r>
  <r>
    <n v="441"/>
    <s v="CLIENT_441"/>
    <n v="22"/>
    <n v="39278"/>
    <n v="1224847"/>
    <n v="0.10100000000000001"/>
    <n v="15"/>
    <x v="101"/>
    <n v="9"/>
    <n v="9183"/>
    <x v="1"/>
    <n v="0.23379499974540455"/>
    <x v="2"/>
  </r>
  <r>
    <n v="442"/>
    <s v="CLIENT_442"/>
    <n v="23"/>
    <n v="80523"/>
    <n v="1930280"/>
    <n v="0.11799999999999999"/>
    <n v="25"/>
    <x v="107"/>
    <n v="15"/>
    <n v="19157"/>
    <x v="1"/>
    <n v="0.23790718179898912"/>
    <x v="2"/>
  </r>
  <r>
    <n v="443"/>
    <s v="CLIENT_443"/>
    <n v="29"/>
    <n v="39992"/>
    <n v="1754960"/>
    <n v="0.108"/>
    <n v="25"/>
    <x v="24"/>
    <n v="15"/>
    <n v="34904"/>
    <x v="2"/>
    <n v="0.87277455491098221"/>
    <x v="5"/>
  </r>
  <r>
    <n v="444"/>
    <s v="CLIENT_444"/>
    <n v="61"/>
    <n v="112550"/>
    <n v="1643932"/>
    <n v="0.111"/>
    <n v="20"/>
    <x v="209"/>
    <n v="11"/>
    <n v="11525"/>
    <x v="0"/>
    <n v="0.10239893380719681"/>
    <x v="4"/>
  </r>
  <r>
    <n v="445"/>
    <s v="CLIENT_445"/>
    <n v="25"/>
    <n v="30576"/>
    <n v="1524896"/>
    <n v="0.09"/>
    <n v="10"/>
    <x v="131"/>
    <n v="3"/>
    <n v="20851"/>
    <x v="2"/>
    <n v="0.68194008372579806"/>
    <x v="3"/>
  </r>
  <r>
    <n v="446"/>
    <s v="CLIENT_446"/>
    <n v="37"/>
    <n v="118408"/>
    <n v="1494819"/>
    <n v="0.107"/>
    <n v="30"/>
    <x v="65"/>
    <n v="0"/>
    <n v="41812"/>
    <x v="1"/>
    <n v="0.35311803256536722"/>
    <x v="1"/>
  </r>
  <r>
    <n v="447"/>
    <s v="CLIENT_447"/>
    <n v="47"/>
    <n v="28024"/>
    <n v="1089095"/>
    <n v="9.8000000000000004E-2"/>
    <n v="15"/>
    <x v="70"/>
    <n v="11"/>
    <n v="42521"/>
    <x v="2"/>
    <n v="1.517306594347702"/>
    <x v="3"/>
  </r>
  <r>
    <n v="448"/>
    <s v="CLIENT_448"/>
    <n v="40"/>
    <n v="40362"/>
    <n v="2324116"/>
    <n v="8.8999999999999996E-2"/>
    <n v="20"/>
    <x v="201"/>
    <n v="9"/>
    <n v="10555"/>
    <x v="1"/>
    <n v="0.26150834943758983"/>
    <x v="1"/>
  </r>
  <r>
    <n v="449"/>
    <s v="CLIENT_449"/>
    <n v="26"/>
    <n v="100087"/>
    <n v="1573383"/>
    <n v="8.5000000000000006E-2"/>
    <n v="15"/>
    <x v="177"/>
    <n v="7"/>
    <n v="48031"/>
    <x v="1"/>
    <n v="0.47989249353062835"/>
    <x v="1"/>
  </r>
  <r>
    <n v="450"/>
    <s v="CLIENT_450"/>
    <n v="30"/>
    <n v="79535"/>
    <n v="1115420"/>
    <n v="0.08"/>
    <n v="15"/>
    <x v="210"/>
    <n v="9"/>
    <n v="49616"/>
    <x v="2"/>
    <n v="0.62382598855849625"/>
    <x v="3"/>
  </r>
  <r>
    <n v="451"/>
    <s v="CLIENT_451"/>
    <n v="37"/>
    <n v="77622"/>
    <n v="962942"/>
    <n v="9.6000000000000002E-2"/>
    <n v="10"/>
    <x v="193"/>
    <n v="15"/>
    <n v="45168"/>
    <x v="1"/>
    <n v="0.58189688490376434"/>
    <x v="1"/>
  </r>
  <r>
    <n v="452"/>
    <s v="CLIENT_452"/>
    <n v="29"/>
    <n v="106420"/>
    <n v="1222952"/>
    <n v="8.4000000000000005E-2"/>
    <n v="10"/>
    <x v="202"/>
    <n v="11"/>
    <n v="28917"/>
    <x v="2"/>
    <n v="0.27172523961661343"/>
    <x v="3"/>
  </r>
  <r>
    <n v="453"/>
    <s v="CLIENT_453"/>
    <n v="27"/>
    <n v="72508"/>
    <n v="2226796"/>
    <n v="0.109"/>
    <n v="30"/>
    <x v="16"/>
    <n v="0"/>
    <n v="47881"/>
    <x v="1"/>
    <n v="0.66035471947922986"/>
    <x v="1"/>
  </r>
  <r>
    <n v="454"/>
    <s v="CLIENT_454"/>
    <n v="26"/>
    <n v="51894"/>
    <n v="690128"/>
    <n v="9.7000000000000003E-2"/>
    <n v="25"/>
    <x v="164"/>
    <n v="2"/>
    <n v="48854"/>
    <x v="1"/>
    <n v="0.94141904651790187"/>
    <x v="1"/>
  </r>
  <r>
    <n v="455"/>
    <s v="CLIENT_455"/>
    <n v="31"/>
    <n v="75366"/>
    <n v="1825108"/>
    <n v="0.107"/>
    <n v="30"/>
    <x v="11"/>
    <n v="15"/>
    <n v="9748"/>
    <x v="2"/>
    <n v="0.12934214367221294"/>
    <x v="5"/>
  </r>
  <r>
    <n v="456"/>
    <s v="CLIENT_456"/>
    <n v="20"/>
    <n v="29913"/>
    <n v="889185"/>
    <n v="0.11899999999999999"/>
    <n v="15"/>
    <x v="54"/>
    <n v="5"/>
    <n v="28679"/>
    <x v="1"/>
    <n v="0.95874703306254805"/>
    <x v="2"/>
  </r>
  <r>
    <n v="457"/>
    <s v="CLIENT_457"/>
    <n v="52"/>
    <n v="76971"/>
    <n v="1691283"/>
    <n v="0.113"/>
    <n v="20"/>
    <x v="140"/>
    <n v="9"/>
    <n v="44272"/>
    <x v="2"/>
    <n v="0.57517766431513162"/>
    <x v="5"/>
  </r>
  <r>
    <n v="458"/>
    <s v="CLIENT_458"/>
    <n v="54"/>
    <n v="100126"/>
    <n v="1676493"/>
    <n v="8.7999999999999995E-2"/>
    <n v="30"/>
    <x v="92"/>
    <n v="8"/>
    <n v="39811"/>
    <x v="2"/>
    <n v="0.39760901264406845"/>
    <x v="5"/>
  </r>
  <r>
    <n v="459"/>
    <s v="CLIENT_459"/>
    <n v="58"/>
    <n v="69060"/>
    <n v="2184014"/>
    <n v="0.113"/>
    <n v="25"/>
    <x v="6"/>
    <n v="0"/>
    <n v="6378"/>
    <x v="2"/>
    <n v="9.2354474370112946E-2"/>
    <x v="3"/>
  </r>
  <r>
    <n v="460"/>
    <s v="CLIENT_460"/>
    <n v="42"/>
    <n v="63336"/>
    <n v="1169127"/>
    <n v="0.11799999999999999"/>
    <n v="30"/>
    <x v="201"/>
    <n v="15"/>
    <n v="38226"/>
    <x v="1"/>
    <n v="0.60354300871542255"/>
    <x v="1"/>
  </r>
  <r>
    <n v="461"/>
    <s v="CLIENT_461"/>
    <n v="22"/>
    <n v="76628"/>
    <n v="866739"/>
    <n v="0.109"/>
    <n v="30"/>
    <x v="211"/>
    <n v="13"/>
    <n v="43107"/>
    <x v="1"/>
    <n v="0.5625489377251135"/>
    <x v="2"/>
  </r>
  <r>
    <n v="462"/>
    <s v="CLIENT_462"/>
    <n v="55"/>
    <n v="86314"/>
    <n v="2283124"/>
    <n v="0.09"/>
    <n v="25"/>
    <x v="171"/>
    <n v="15"/>
    <n v="20987"/>
    <x v="2"/>
    <n v="0.24314711402553468"/>
    <x v="3"/>
  </r>
  <r>
    <n v="463"/>
    <s v="CLIENT_463"/>
    <n v="39"/>
    <n v="16997"/>
    <n v="1234473"/>
    <n v="9.5000000000000001E-2"/>
    <n v="10"/>
    <x v="212"/>
    <n v="9"/>
    <n v="16655"/>
    <x v="2"/>
    <n v="0.97987880214155443"/>
    <x v="3"/>
  </r>
  <r>
    <n v="464"/>
    <s v="CLIENT_464"/>
    <n v="60"/>
    <n v="45054"/>
    <n v="869926"/>
    <n v="0.109"/>
    <n v="10"/>
    <x v="43"/>
    <n v="9"/>
    <n v="29855"/>
    <x v="2"/>
    <n v="0.66264926532605317"/>
    <x v="3"/>
  </r>
  <r>
    <n v="465"/>
    <s v="CLIENT_465"/>
    <n v="33"/>
    <n v="23420"/>
    <n v="607753"/>
    <n v="8.5999999999999993E-2"/>
    <n v="15"/>
    <x v="151"/>
    <n v="1"/>
    <n v="6542"/>
    <x v="1"/>
    <n v="0.27933390264731001"/>
    <x v="1"/>
  </r>
  <r>
    <n v="466"/>
    <s v="CLIENT_466"/>
    <n v="31"/>
    <n v="87561"/>
    <n v="917534"/>
    <n v="0.112"/>
    <n v="10"/>
    <x v="213"/>
    <n v="7"/>
    <n v="35989"/>
    <x v="2"/>
    <n v="0.41101632005116434"/>
    <x v="3"/>
  </r>
  <r>
    <n v="467"/>
    <s v="CLIENT_467"/>
    <n v="32"/>
    <n v="100183"/>
    <n v="708020"/>
    <n v="0.09"/>
    <n v="10"/>
    <x v="89"/>
    <n v="11"/>
    <n v="14583"/>
    <x v="0"/>
    <n v="0.14556361857800226"/>
    <x v="4"/>
  </r>
  <r>
    <n v="468"/>
    <s v="CLIENT_468"/>
    <n v="46"/>
    <n v="80374"/>
    <n v="951673"/>
    <n v="9.8000000000000004E-2"/>
    <n v="10"/>
    <x v="115"/>
    <n v="2"/>
    <n v="12486"/>
    <x v="0"/>
    <n v="0.1553487446189066"/>
    <x v="4"/>
  </r>
  <r>
    <n v="469"/>
    <s v="CLIENT_469"/>
    <n v="63"/>
    <n v="113181"/>
    <n v="1916314"/>
    <n v="0.1"/>
    <n v="15"/>
    <x v="91"/>
    <n v="0"/>
    <n v="13854"/>
    <x v="1"/>
    <n v="0.12240570413762027"/>
    <x v="1"/>
  </r>
  <r>
    <n v="470"/>
    <s v="CLIENT_470"/>
    <n v="55"/>
    <n v="67653"/>
    <n v="1922141"/>
    <n v="0.112"/>
    <n v="25"/>
    <x v="120"/>
    <n v="10"/>
    <n v="4320"/>
    <x v="1"/>
    <n v="6.3855261407476382E-2"/>
    <x v="1"/>
  </r>
  <r>
    <n v="471"/>
    <s v="CLIENT_471"/>
    <n v="31"/>
    <n v="96343"/>
    <n v="2279316"/>
    <n v="0.111"/>
    <n v="15"/>
    <x v="171"/>
    <n v="5"/>
    <n v="17551"/>
    <x v="2"/>
    <n v="0.18217203118026218"/>
    <x v="3"/>
  </r>
  <r>
    <n v="472"/>
    <s v="CLIENT_472"/>
    <n v="64"/>
    <n v="77746"/>
    <n v="1011939"/>
    <n v="0.108"/>
    <n v="25"/>
    <x v="15"/>
    <n v="11"/>
    <n v="12735"/>
    <x v="2"/>
    <n v="0.16380263936408304"/>
    <x v="5"/>
  </r>
  <r>
    <n v="473"/>
    <s v="CLIENT_473"/>
    <n v="38"/>
    <n v="78602"/>
    <n v="1531336"/>
    <n v="0.11899999999999999"/>
    <n v="15"/>
    <x v="145"/>
    <n v="4"/>
    <n v="43589"/>
    <x v="2"/>
    <n v="0.55455331925396301"/>
    <x v="3"/>
  </r>
  <r>
    <n v="474"/>
    <s v="CLIENT_474"/>
    <n v="23"/>
    <n v="94674"/>
    <n v="807644"/>
    <n v="8.3000000000000004E-2"/>
    <n v="20"/>
    <x v="214"/>
    <n v="9"/>
    <n v="1524"/>
    <x v="1"/>
    <n v="1.6097344571899361E-2"/>
    <x v="2"/>
  </r>
  <r>
    <n v="475"/>
    <s v="CLIENT_475"/>
    <n v="21"/>
    <n v="107196"/>
    <n v="1909157"/>
    <n v="0.1"/>
    <n v="30"/>
    <x v="138"/>
    <n v="15"/>
    <n v="28623"/>
    <x v="1"/>
    <n v="0.26701556028210005"/>
    <x v="2"/>
  </r>
  <r>
    <n v="476"/>
    <s v="CLIENT_476"/>
    <n v="61"/>
    <n v="16661"/>
    <n v="1790782"/>
    <n v="9.8000000000000004E-2"/>
    <n v="30"/>
    <x v="106"/>
    <n v="1"/>
    <n v="49046"/>
    <x v="2"/>
    <n v="2.9437608786987575"/>
    <x v="5"/>
  </r>
  <r>
    <n v="477"/>
    <s v="CLIENT_477"/>
    <n v="58"/>
    <n v="93394"/>
    <n v="2460076"/>
    <n v="0.1"/>
    <n v="15"/>
    <x v="12"/>
    <n v="2"/>
    <n v="46134"/>
    <x v="2"/>
    <n v="0.49397177548878946"/>
    <x v="3"/>
  </r>
  <r>
    <n v="478"/>
    <s v="CLIENT_478"/>
    <n v="21"/>
    <n v="53756"/>
    <n v="1075368"/>
    <n v="8.7999999999999995E-2"/>
    <n v="20"/>
    <x v="113"/>
    <n v="14"/>
    <n v="18263"/>
    <x v="1"/>
    <n v="0.33973881985266763"/>
    <x v="2"/>
  </r>
  <r>
    <n v="479"/>
    <s v="CLIENT_479"/>
    <n v="27"/>
    <n v="96035"/>
    <n v="1404309"/>
    <n v="0.10199999999999999"/>
    <n v="20"/>
    <x v="140"/>
    <n v="6"/>
    <n v="824"/>
    <x v="2"/>
    <n v="8.5802051335450609E-3"/>
    <x v="5"/>
  </r>
  <r>
    <n v="480"/>
    <s v="CLIENT_480"/>
    <n v="36"/>
    <n v="40334"/>
    <n v="1183633"/>
    <n v="8.4000000000000005E-2"/>
    <n v="20"/>
    <x v="100"/>
    <n v="3"/>
    <n v="33814"/>
    <x v="1"/>
    <n v="0.83834977934249022"/>
    <x v="1"/>
  </r>
  <r>
    <n v="481"/>
    <s v="CLIENT_481"/>
    <n v="52"/>
    <n v="32394"/>
    <n v="2096516"/>
    <n v="0.114"/>
    <n v="10"/>
    <x v="18"/>
    <n v="5"/>
    <n v="28968"/>
    <x v="2"/>
    <n v="0.89423967401370619"/>
    <x v="3"/>
  </r>
  <r>
    <n v="482"/>
    <s v="CLIENT_482"/>
    <n v="20"/>
    <n v="45918"/>
    <n v="1280253"/>
    <n v="0.113"/>
    <n v="30"/>
    <x v="94"/>
    <n v="1"/>
    <n v="8898"/>
    <x v="1"/>
    <n v="0.19378021690840194"/>
    <x v="2"/>
  </r>
  <r>
    <n v="483"/>
    <s v="CLIENT_483"/>
    <n v="55"/>
    <n v="64971"/>
    <n v="2283616"/>
    <n v="0.112"/>
    <n v="20"/>
    <x v="55"/>
    <n v="8"/>
    <n v="24544"/>
    <x v="1"/>
    <n v="0.37776854288836559"/>
    <x v="1"/>
  </r>
  <r>
    <n v="484"/>
    <s v="CLIENT_484"/>
    <n v="33"/>
    <n v="28979"/>
    <n v="522347"/>
    <n v="0.10299999999999999"/>
    <n v="25"/>
    <x v="201"/>
    <n v="12"/>
    <n v="10911"/>
    <x v="1"/>
    <n v="0.37651402739915113"/>
    <x v="1"/>
  </r>
  <r>
    <n v="485"/>
    <s v="CLIENT_485"/>
    <n v="64"/>
    <n v="65228"/>
    <n v="1302617"/>
    <n v="8.1000000000000003E-2"/>
    <n v="20"/>
    <x v="68"/>
    <n v="11"/>
    <n v="12440"/>
    <x v="1"/>
    <n v="0.1907156435886429"/>
    <x v="1"/>
  </r>
  <r>
    <n v="486"/>
    <s v="CLIENT_486"/>
    <n v="55"/>
    <n v="58760"/>
    <n v="2213881"/>
    <n v="8.5999999999999993E-2"/>
    <n v="25"/>
    <x v="32"/>
    <n v="9"/>
    <n v="14793"/>
    <x v="2"/>
    <n v="0.25175289312457455"/>
    <x v="5"/>
  </r>
  <r>
    <n v="487"/>
    <s v="CLIENT_487"/>
    <n v="27"/>
    <n v="20798"/>
    <n v="1254781"/>
    <n v="8.4000000000000005E-2"/>
    <n v="10"/>
    <x v="13"/>
    <n v="6"/>
    <n v="39743"/>
    <x v="1"/>
    <n v="1.9109048947014136"/>
    <x v="1"/>
  </r>
  <r>
    <n v="488"/>
    <s v="CLIENT_488"/>
    <n v="35"/>
    <n v="105523"/>
    <n v="977213"/>
    <n v="0.10299999999999999"/>
    <n v="15"/>
    <x v="34"/>
    <n v="1"/>
    <n v="3170"/>
    <x v="2"/>
    <n v="3.0040844176151171E-2"/>
    <x v="3"/>
  </r>
  <r>
    <n v="489"/>
    <s v="CLIENT_489"/>
    <n v="21"/>
    <n v="79524"/>
    <n v="2057793"/>
    <n v="9.5000000000000001E-2"/>
    <n v="20"/>
    <x v="215"/>
    <n v="8"/>
    <n v="22594"/>
    <x v="1"/>
    <n v="0.2841154871485338"/>
    <x v="2"/>
  </r>
  <r>
    <n v="490"/>
    <s v="CLIENT_490"/>
    <n v="20"/>
    <n v="67321"/>
    <n v="1130583"/>
    <n v="9.4E-2"/>
    <n v="15"/>
    <x v="216"/>
    <n v="1"/>
    <n v="41267"/>
    <x v="1"/>
    <n v="0.61298851769878637"/>
    <x v="2"/>
  </r>
  <r>
    <n v="491"/>
    <s v="CLIENT_491"/>
    <n v="64"/>
    <n v="99564"/>
    <n v="1141405"/>
    <n v="9.9000000000000005E-2"/>
    <n v="10"/>
    <x v="183"/>
    <n v="3"/>
    <n v="36058"/>
    <x v="1"/>
    <n v="0.36215901329797917"/>
    <x v="1"/>
  </r>
  <r>
    <n v="492"/>
    <s v="CLIENT_492"/>
    <n v="38"/>
    <n v="71045"/>
    <n v="994918"/>
    <n v="0.11"/>
    <n v="30"/>
    <x v="195"/>
    <n v="0"/>
    <n v="15398"/>
    <x v="2"/>
    <n v="0.21673587163065663"/>
    <x v="3"/>
  </r>
  <r>
    <n v="493"/>
    <s v="CLIENT_493"/>
    <n v="25"/>
    <n v="46846"/>
    <n v="669814"/>
    <n v="8.5999999999999993E-2"/>
    <n v="20"/>
    <x v="100"/>
    <n v="13"/>
    <n v="1723"/>
    <x v="1"/>
    <n v="3.6780087947743671E-2"/>
    <x v="1"/>
  </r>
  <r>
    <n v="494"/>
    <s v="CLIENT_494"/>
    <n v="49"/>
    <n v="82241"/>
    <n v="1329483"/>
    <n v="0.09"/>
    <n v="25"/>
    <x v="75"/>
    <n v="15"/>
    <n v="21767"/>
    <x v="2"/>
    <n v="0.26467333811602484"/>
    <x v="5"/>
  </r>
  <r>
    <n v="495"/>
    <s v="CLIENT_495"/>
    <n v="26"/>
    <n v="73852"/>
    <n v="2058645"/>
    <n v="0.1"/>
    <n v="25"/>
    <x v="163"/>
    <n v="7"/>
    <n v="36404"/>
    <x v="2"/>
    <n v="0.4929318095650761"/>
    <x v="3"/>
  </r>
  <r>
    <n v="496"/>
    <s v="CLIENT_496"/>
    <n v="65"/>
    <n v="97890"/>
    <n v="2381321"/>
    <n v="9.1999999999999998E-2"/>
    <n v="25"/>
    <x v="217"/>
    <n v="10"/>
    <n v="48947"/>
    <x v="2"/>
    <n v="0.50002043109612826"/>
    <x v="3"/>
  </r>
  <r>
    <n v="497"/>
    <s v="CLIENT_497"/>
    <n v="27"/>
    <n v="71780"/>
    <n v="661456"/>
    <n v="9.7000000000000003E-2"/>
    <n v="20"/>
    <x v="218"/>
    <n v="5"/>
    <n v="20656"/>
    <x v="2"/>
    <n v="0.28776818055168568"/>
    <x v="3"/>
  </r>
  <r>
    <n v="498"/>
    <s v="CLIENT_498"/>
    <n v="38"/>
    <n v="94218"/>
    <n v="2143382"/>
    <n v="9.7000000000000003E-2"/>
    <n v="25"/>
    <x v="204"/>
    <n v="1"/>
    <n v="2866"/>
    <x v="1"/>
    <n v="3.0418815937506633E-2"/>
    <x v="1"/>
  </r>
  <r>
    <n v="499"/>
    <s v="CLIENT_499"/>
    <n v="21"/>
    <n v="39580"/>
    <n v="1163741"/>
    <n v="9.8000000000000004E-2"/>
    <n v="30"/>
    <x v="219"/>
    <n v="9"/>
    <n v="40005"/>
    <x v="1"/>
    <n v="1.0107377463365337"/>
    <x v="2"/>
  </r>
  <r>
    <n v="500"/>
    <s v="CLIENT_500"/>
    <n v="35"/>
    <n v="80486"/>
    <n v="1395165"/>
    <n v="0.115"/>
    <n v="25"/>
    <x v="13"/>
    <n v="8"/>
    <n v="7560"/>
    <x v="1"/>
    <n v="9.3929379022438683E-2"/>
    <x v="1"/>
  </r>
  <r>
    <n v="501"/>
    <s v="CLIENT_1_1"/>
    <n v="34"/>
    <n v="5041"/>
    <n v="84669"/>
    <n v="0.13300000000000001"/>
    <n v="20"/>
    <x v="220"/>
    <n v="15"/>
    <n v="28521"/>
    <x v="1"/>
    <n v="5.6578059908748264"/>
    <x v="1"/>
  </r>
  <r>
    <n v="502"/>
    <s v="CLIENT_1_2"/>
    <n v="27"/>
    <n v="7814"/>
    <n v="477917"/>
    <n v="5.3999999999999999E-2"/>
    <n v="25"/>
    <x v="196"/>
    <n v="18"/>
    <n v="29599"/>
    <x v="2"/>
    <n v="3.787944714614794"/>
    <x v="3"/>
  </r>
  <r>
    <n v="503"/>
    <s v="CLIENT_1_3"/>
    <n v="55"/>
    <n v="4885"/>
    <n v="343008"/>
    <n v="7.0999999999999994E-2"/>
    <n v="15"/>
    <x v="103"/>
    <n v="5"/>
    <n v="33946"/>
    <x v="2"/>
    <n v="6.9490276356192426"/>
    <x v="3"/>
  </r>
  <r>
    <n v="504"/>
    <s v="CLIENT_1_4"/>
    <n v="65"/>
    <n v="3434"/>
    <n v="404012"/>
    <n v="0.06"/>
    <n v="30"/>
    <x v="46"/>
    <n v="17"/>
    <n v="15280"/>
    <x v="1"/>
    <n v="4.449621432731508"/>
    <x v="1"/>
  </r>
  <r>
    <n v="505"/>
    <s v="CLIENT_1_5"/>
    <n v="46"/>
    <n v="8518"/>
    <n v="171903"/>
    <n v="0.14199999999999999"/>
    <n v="20"/>
    <x v="221"/>
    <n v="15"/>
    <n v="8970"/>
    <x v="0"/>
    <n v="1.0530640995538858"/>
    <x v="4"/>
  </r>
  <r>
    <n v="506"/>
    <s v="CLIENT_1_6"/>
    <n v="45"/>
    <n v="4582"/>
    <n v="354160"/>
    <n v="0.10299999999999999"/>
    <n v="25"/>
    <x v="145"/>
    <n v="7"/>
    <n v="44460"/>
    <x v="2"/>
    <n v="9.7031863814927988"/>
    <x v="3"/>
  </r>
  <r>
    <n v="507"/>
    <s v="CLIENT_1_7"/>
    <n v="37"/>
    <n v="10794"/>
    <n v="481720"/>
    <n v="0.14799999999999999"/>
    <n v="20"/>
    <x v="35"/>
    <n v="14"/>
    <n v="6089"/>
    <x v="0"/>
    <n v="0.56410969056883453"/>
    <x v="0"/>
  </r>
  <r>
    <n v="508"/>
    <s v="CLIENT_1_8"/>
    <n v="42"/>
    <n v="6520"/>
    <n v="478480"/>
    <n v="0.14499999999999999"/>
    <n v="25"/>
    <x v="220"/>
    <n v="10"/>
    <n v="36647"/>
    <x v="1"/>
    <n v="5.6207055214723924"/>
    <x v="1"/>
  </r>
  <r>
    <n v="509"/>
    <s v="CLIENT_1_9"/>
    <n v="30"/>
    <n v="3274"/>
    <n v="410705"/>
    <n v="0.125"/>
    <n v="30"/>
    <x v="222"/>
    <n v="4"/>
    <n v="7895"/>
    <x v="0"/>
    <n v="2.4114233353695784"/>
    <x v="4"/>
  </r>
  <r>
    <n v="510"/>
    <s v="CLIENT_1_10"/>
    <n v="53"/>
    <n v="6474"/>
    <n v="252712"/>
    <n v="0.13300000000000001"/>
    <n v="25"/>
    <x v="132"/>
    <n v="14"/>
    <n v="22476"/>
    <x v="2"/>
    <n v="3.4717330861909175"/>
    <x v="3"/>
  </r>
  <r>
    <n v="511"/>
    <s v="CLIENT_1_11"/>
    <n v="40"/>
    <n v="14609"/>
    <n v="304559"/>
    <n v="0.11600000000000001"/>
    <n v="25"/>
    <x v="163"/>
    <n v="8"/>
    <n v="14670"/>
    <x v="0"/>
    <n v="1.0041755082483401"/>
    <x v="4"/>
  </r>
  <r>
    <n v="512"/>
    <s v="CLIENT_1_12"/>
    <n v="31"/>
    <n v="3993"/>
    <n v="259460"/>
    <n v="7.9000000000000001E-2"/>
    <n v="10"/>
    <x v="77"/>
    <n v="3"/>
    <n v="636"/>
    <x v="1"/>
    <n v="0.15927873779113449"/>
    <x v="1"/>
  </r>
  <r>
    <n v="513"/>
    <s v="CLIENT_1_13"/>
    <n v="46"/>
    <n v="10993"/>
    <n v="434462"/>
    <n v="0.10199999999999999"/>
    <n v="10"/>
    <x v="223"/>
    <n v="3"/>
    <n v="33476"/>
    <x v="2"/>
    <n v="3.0452105885563538"/>
    <x v="3"/>
  </r>
  <r>
    <n v="514"/>
    <s v="CLIENT_1_14"/>
    <n v="51"/>
    <n v="10001"/>
    <n v="380091"/>
    <n v="0.14599999999999999"/>
    <n v="10"/>
    <x v="121"/>
    <n v="10"/>
    <n v="6982"/>
    <x v="2"/>
    <n v="0.69813018698130191"/>
    <x v="5"/>
  </r>
  <r>
    <n v="515"/>
    <s v="CLIENT_1_15"/>
    <n v="38"/>
    <n v="10758"/>
    <n v="327694"/>
    <n v="0.14599999999999999"/>
    <n v="30"/>
    <x v="82"/>
    <n v="17"/>
    <n v="849"/>
    <x v="0"/>
    <n v="7.8918014500836589E-2"/>
    <x v="4"/>
  </r>
  <r>
    <n v="516"/>
    <s v="CLIENT_1_16"/>
    <n v="65"/>
    <n v="3317"/>
    <n v="123757"/>
    <n v="6.6000000000000003E-2"/>
    <n v="15"/>
    <x v="93"/>
    <n v="13"/>
    <n v="9117"/>
    <x v="0"/>
    <n v="2.7485679831172747"/>
    <x v="4"/>
  </r>
  <r>
    <n v="517"/>
    <s v="CLIENT_1_17"/>
    <n v="52"/>
    <n v="13566"/>
    <n v="134213"/>
    <n v="0.127"/>
    <n v="30"/>
    <x v="162"/>
    <n v="0"/>
    <n v="665"/>
    <x v="1"/>
    <n v="4.9019607843137254E-2"/>
    <x v="1"/>
  </r>
  <r>
    <n v="518"/>
    <s v="CLIENT_1_18"/>
    <n v="48"/>
    <n v="13461"/>
    <n v="345898"/>
    <n v="0.14299999999999999"/>
    <n v="20"/>
    <x v="130"/>
    <n v="4"/>
    <n v="48563"/>
    <x v="2"/>
    <n v="3.6076814501151473"/>
    <x v="3"/>
  </r>
  <r>
    <n v="519"/>
    <s v="CLIENT_1_19"/>
    <n v="41"/>
    <n v="12894"/>
    <n v="405651"/>
    <n v="0.113"/>
    <n v="10"/>
    <x v="79"/>
    <n v="11"/>
    <n v="9138"/>
    <x v="0"/>
    <n v="0.70870172173103774"/>
    <x v="0"/>
  </r>
  <r>
    <n v="520"/>
    <s v="CLIENT_1_20"/>
    <n v="62"/>
    <n v="6279"/>
    <n v="240676"/>
    <n v="9.5000000000000001E-2"/>
    <n v="25"/>
    <x v="224"/>
    <n v="10"/>
    <n v="26836"/>
    <x v="2"/>
    <n v="4.2739289695811431"/>
    <x v="3"/>
  </r>
  <r>
    <n v="521"/>
    <s v="CLIENT_1_21"/>
    <n v="51"/>
    <n v="9371"/>
    <n v="419375"/>
    <n v="0.14699999999999999"/>
    <n v="15"/>
    <x v="42"/>
    <n v="8"/>
    <n v="23623"/>
    <x v="2"/>
    <n v="2.5208622345534093"/>
    <x v="3"/>
  </r>
  <r>
    <n v="522"/>
    <s v="CLIENT_1_22"/>
    <n v="24"/>
    <n v="10123"/>
    <n v="179581"/>
    <n v="0.114"/>
    <n v="25"/>
    <x v="43"/>
    <n v="9"/>
    <n v="25557"/>
    <x v="1"/>
    <n v="2.5246468438210017"/>
    <x v="2"/>
  </r>
  <r>
    <n v="523"/>
    <s v="CLIENT_1_23"/>
    <n v="27"/>
    <n v="8589"/>
    <n v="71367"/>
    <n v="6.7000000000000004E-2"/>
    <n v="30"/>
    <x v="204"/>
    <n v="0"/>
    <n v="42918"/>
    <x v="1"/>
    <n v="4.9968564442892074"/>
    <x v="1"/>
  </r>
  <r>
    <n v="524"/>
    <s v="CLIENT_1_24"/>
    <n v="36"/>
    <n v="12241"/>
    <n v="479611"/>
    <n v="8.5999999999999993E-2"/>
    <n v="10"/>
    <x v="74"/>
    <n v="16"/>
    <n v="24807"/>
    <x v="2"/>
    <n v="2.0265501184543746"/>
    <x v="3"/>
  </r>
  <r>
    <n v="525"/>
    <s v="CLIENT_1_25"/>
    <n v="56"/>
    <n v="12176"/>
    <n v="51893"/>
    <n v="7.9000000000000001E-2"/>
    <n v="25"/>
    <x v="82"/>
    <n v="4"/>
    <n v="45046"/>
    <x v="2"/>
    <n v="3.6995729303547962"/>
    <x v="3"/>
  </r>
  <r>
    <n v="526"/>
    <s v="CLIENT_1_26"/>
    <n v="43"/>
    <n v="11494"/>
    <n v="319313"/>
    <n v="9.4E-2"/>
    <n v="15"/>
    <x v="209"/>
    <n v="19"/>
    <n v="5393"/>
    <x v="0"/>
    <n v="0.46920132242909346"/>
    <x v="4"/>
  </r>
  <r>
    <n v="527"/>
    <s v="CLIENT_1_27"/>
    <n v="43"/>
    <n v="7372"/>
    <n v="94598"/>
    <n v="6.3E-2"/>
    <n v="30"/>
    <x v="145"/>
    <n v="13"/>
    <n v="44097"/>
    <x v="2"/>
    <n v="5.9816874660878998"/>
    <x v="3"/>
  </r>
  <r>
    <n v="528"/>
    <s v="CLIENT_1_28"/>
    <n v="63"/>
    <n v="5581"/>
    <n v="253187"/>
    <n v="0.10100000000000001"/>
    <n v="25"/>
    <x v="77"/>
    <n v="19"/>
    <n v="3945"/>
    <x v="1"/>
    <n v="0.70686256943200143"/>
    <x v="1"/>
  </r>
  <r>
    <n v="529"/>
    <s v="CLIENT_1_29"/>
    <n v="65"/>
    <n v="7894"/>
    <n v="434395"/>
    <n v="6.7000000000000004E-2"/>
    <n v="20"/>
    <x v="225"/>
    <n v="14"/>
    <n v="17006"/>
    <x v="2"/>
    <n v="2.1542944008107425"/>
    <x v="3"/>
  </r>
  <r>
    <n v="530"/>
    <s v="CLIENT_1_30"/>
    <n v="35"/>
    <n v="2796"/>
    <n v="408649"/>
    <n v="0.13400000000000001"/>
    <n v="25"/>
    <x v="226"/>
    <n v="16"/>
    <n v="27538"/>
    <x v="2"/>
    <n v="9.8490701001430612"/>
    <x v="3"/>
  </r>
  <r>
    <n v="531"/>
    <s v="CLIENT_1_31"/>
    <n v="61"/>
    <n v="6811"/>
    <n v="90973"/>
    <n v="8.8999999999999996E-2"/>
    <n v="20"/>
    <x v="115"/>
    <n v="4"/>
    <n v="21178"/>
    <x v="2"/>
    <n v="3.1093818822493025"/>
    <x v="3"/>
  </r>
  <r>
    <n v="532"/>
    <s v="CLIENT_1_32"/>
    <n v="33"/>
    <n v="6290"/>
    <n v="257169"/>
    <n v="0.123"/>
    <n v="30"/>
    <x v="39"/>
    <n v="0"/>
    <n v="1648"/>
    <x v="2"/>
    <n v="0.26200317965023845"/>
    <x v="3"/>
  </r>
  <r>
    <n v="533"/>
    <s v="CLIENT_1_33"/>
    <n v="64"/>
    <n v="12916"/>
    <n v="472248"/>
    <n v="8.2000000000000003E-2"/>
    <n v="25"/>
    <x v="227"/>
    <n v="0"/>
    <n v="5106"/>
    <x v="2"/>
    <n v="0.39532362960668938"/>
    <x v="5"/>
  </r>
  <r>
    <n v="534"/>
    <s v="CLIENT_1_34"/>
    <n v="24"/>
    <n v="7705"/>
    <n v="439654"/>
    <n v="9.4E-2"/>
    <n v="30"/>
    <x v="156"/>
    <n v="3"/>
    <n v="39267"/>
    <x v="1"/>
    <n v="5.0963011031797532"/>
    <x v="2"/>
  </r>
  <r>
    <n v="535"/>
    <s v="CLIENT_1_35"/>
    <n v="39"/>
    <n v="7670"/>
    <n v="321327"/>
    <n v="8.5999999999999993E-2"/>
    <n v="30"/>
    <x v="73"/>
    <n v="15"/>
    <n v="9676"/>
    <x v="0"/>
    <n v="1.2615384615384615"/>
    <x v="4"/>
  </r>
  <r>
    <n v="536"/>
    <s v="CLIENT_1_36"/>
    <n v="29"/>
    <n v="6580"/>
    <n v="359592"/>
    <n v="7.4999999999999997E-2"/>
    <n v="10"/>
    <x v="98"/>
    <n v="13"/>
    <n v="44880"/>
    <x v="2"/>
    <n v="6.8206686930091189"/>
    <x v="3"/>
  </r>
  <r>
    <n v="537"/>
    <s v="CLIENT_1_37"/>
    <n v="56"/>
    <n v="6911"/>
    <n v="385488"/>
    <n v="6.4000000000000001E-2"/>
    <n v="20"/>
    <x v="55"/>
    <n v="3"/>
    <n v="14524"/>
    <x v="1"/>
    <n v="2.1015771957748517"/>
    <x v="1"/>
  </r>
  <r>
    <n v="538"/>
    <s v="CLIENT_1_38"/>
    <n v="30"/>
    <n v="10795"/>
    <n v="337520"/>
    <n v="9.9000000000000005E-2"/>
    <n v="20"/>
    <x v="114"/>
    <n v="5"/>
    <n v="34968"/>
    <x v="2"/>
    <n v="3.2392774432607689"/>
    <x v="3"/>
  </r>
  <r>
    <n v="539"/>
    <s v="CLIENT_1_39"/>
    <n v="64"/>
    <n v="14757"/>
    <n v="320402"/>
    <n v="0.05"/>
    <n v="10"/>
    <x v="88"/>
    <n v="16"/>
    <n v="41425"/>
    <x v="2"/>
    <n v="2.8071423731110658"/>
    <x v="3"/>
  </r>
  <r>
    <n v="540"/>
    <s v="CLIENT_1_40"/>
    <n v="65"/>
    <n v="10769"/>
    <n v="280707"/>
    <n v="0.14899999999999999"/>
    <n v="30"/>
    <x v="228"/>
    <n v="10"/>
    <n v="12048"/>
    <x v="0"/>
    <n v="1.1187668307178011"/>
    <x v="4"/>
  </r>
  <r>
    <n v="541"/>
    <s v="CLIENT_1_41"/>
    <n v="29"/>
    <n v="13960"/>
    <n v="445945"/>
    <n v="0.14099999999999999"/>
    <n v="10"/>
    <x v="42"/>
    <n v="0"/>
    <n v="8942"/>
    <x v="2"/>
    <n v="0.64054441260744988"/>
    <x v="3"/>
  </r>
  <r>
    <n v="542"/>
    <s v="CLIENT_1_42"/>
    <n v="51"/>
    <n v="3947"/>
    <n v="92052"/>
    <n v="0.128"/>
    <n v="30"/>
    <x v="176"/>
    <n v="0"/>
    <n v="11729"/>
    <x v="2"/>
    <n v="2.9716240182417026"/>
    <x v="3"/>
  </r>
  <r>
    <n v="543"/>
    <s v="CLIENT_1_43"/>
    <n v="35"/>
    <n v="4100"/>
    <n v="449114"/>
    <n v="8.3000000000000004E-2"/>
    <n v="20"/>
    <x v="94"/>
    <n v="18"/>
    <n v="16809"/>
    <x v="1"/>
    <n v="4.0997560975609755"/>
    <x v="1"/>
  </r>
  <r>
    <n v="544"/>
    <s v="CLIENT_1_44"/>
    <n v="36"/>
    <n v="14984"/>
    <n v="92395"/>
    <n v="6.8000000000000005E-2"/>
    <n v="30"/>
    <x v="76"/>
    <n v="7"/>
    <n v="34895"/>
    <x v="2"/>
    <n v="2.3288174052322477"/>
    <x v="3"/>
  </r>
  <r>
    <n v="545"/>
    <s v="CLIENT_1_45"/>
    <n v="55"/>
    <n v="2645"/>
    <n v="221367"/>
    <n v="0.10199999999999999"/>
    <n v="25"/>
    <x v="6"/>
    <n v="5"/>
    <n v="16165"/>
    <x v="2"/>
    <n v="6.1115311909262759"/>
    <x v="3"/>
  </r>
  <r>
    <n v="546"/>
    <s v="CLIENT_1_46"/>
    <n v="37"/>
    <n v="8390"/>
    <n v="288771"/>
    <n v="8.4000000000000005E-2"/>
    <n v="20"/>
    <x v="138"/>
    <n v="0"/>
    <n v="23845"/>
    <x v="2"/>
    <n v="2.8420738974970203"/>
    <x v="3"/>
  </r>
  <r>
    <n v="547"/>
    <s v="CLIENT_1_47"/>
    <n v="32"/>
    <n v="2545"/>
    <n v="59162"/>
    <n v="0.112"/>
    <n v="30"/>
    <x v="229"/>
    <n v="0"/>
    <n v="972"/>
    <x v="2"/>
    <n v="0.38192534381139487"/>
    <x v="3"/>
  </r>
  <r>
    <n v="548"/>
    <s v="CLIENT_1_48"/>
    <n v="37"/>
    <n v="9433"/>
    <n v="219825"/>
    <n v="0.107"/>
    <n v="15"/>
    <x v="230"/>
    <n v="7"/>
    <n v="24054"/>
    <x v="2"/>
    <n v="2.5499840983780344"/>
    <x v="5"/>
  </r>
  <r>
    <n v="549"/>
    <s v="CLIENT_1_49"/>
    <n v="23"/>
    <n v="9812"/>
    <n v="434140"/>
    <n v="7.5999999999999998E-2"/>
    <n v="20"/>
    <x v="89"/>
    <n v="1"/>
    <n v="45620"/>
    <x v="1"/>
    <n v="4.6494088870770485"/>
    <x v="2"/>
  </r>
  <r>
    <n v="550"/>
    <s v="CLIENT_1_50"/>
    <n v="23"/>
    <n v="6888"/>
    <n v="388872"/>
    <n v="8.5000000000000006E-2"/>
    <n v="25"/>
    <x v="111"/>
    <n v="15"/>
    <n v="36794"/>
    <x v="1"/>
    <n v="5.3417537746806039"/>
    <x v="2"/>
  </r>
  <r>
    <n v="551"/>
    <s v="CLIENT_2_1"/>
    <n v="55"/>
    <n v="13534"/>
    <n v="385889"/>
    <n v="5.6000000000000001E-2"/>
    <n v="15"/>
    <x v="146"/>
    <n v="3"/>
    <n v="24702"/>
    <x v="2"/>
    <n v="1.8251810255652432"/>
    <x v="3"/>
  </r>
  <r>
    <n v="552"/>
    <s v="CLIENT_2_2"/>
    <n v="38"/>
    <n v="5559"/>
    <n v="478480"/>
    <n v="0.126"/>
    <n v="25"/>
    <x v="117"/>
    <n v="11"/>
    <n v="49672"/>
    <x v="2"/>
    <n v="8.9354200395754635"/>
    <x v="3"/>
  </r>
  <r>
    <n v="553"/>
    <s v="CLIENT_2_3"/>
    <n v="46"/>
    <n v="14602"/>
    <n v="205597"/>
    <n v="0.114"/>
    <n v="15"/>
    <x v="6"/>
    <n v="18"/>
    <n v="23035"/>
    <x v="2"/>
    <n v="1.5775236269004247"/>
    <x v="3"/>
  </r>
  <r>
    <n v="554"/>
    <s v="CLIENT_2_4"/>
    <n v="29"/>
    <n v="6264"/>
    <n v="120463"/>
    <n v="7.4999999999999997E-2"/>
    <n v="15"/>
    <x v="103"/>
    <n v="7"/>
    <n v="30396"/>
    <x v="2"/>
    <n v="4.852490421455939"/>
    <x v="3"/>
  </r>
  <r>
    <n v="555"/>
    <s v="CLIENT_2_5"/>
    <n v="55"/>
    <n v="6264"/>
    <n v="59307"/>
    <n v="8.5999999999999993E-2"/>
    <n v="30"/>
    <x v="72"/>
    <n v="8"/>
    <n v="4406"/>
    <x v="0"/>
    <n v="0.70338441890166026"/>
    <x v="4"/>
  </r>
  <r>
    <n v="556"/>
    <s v="CLIENT_2_6"/>
    <n v="59"/>
    <n v="12043"/>
    <n v="494506"/>
    <n v="0.05"/>
    <n v="30"/>
    <x v="171"/>
    <n v="1"/>
    <n v="31092"/>
    <x v="2"/>
    <n v="2.5817487337042264"/>
    <x v="3"/>
  </r>
  <r>
    <n v="557"/>
    <s v="CLIENT_2_7"/>
    <n v="49"/>
    <n v="10385"/>
    <n v="291978"/>
    <n v="6.3E-2"/>
    <n v="10"/>
    <x v="179"/>
    <n v="0"/>
    <n v="49885"/>
    <x v="2"/>
    <n v="4.8035628310062588"/>
    <x v="3"/>
  </r>
  <r>
    <n v="558"/>
    <s v="CLIENT_2_8"/>
    <n v="43"/>
    <n v="3897"/>
    <n v="82129"/>
    <n v="0.108"/>
    <n v="10"/>
    <x v="185"/>
    <n v="19"/>
    <n v="39887"/>
    <x v="2"/>
    <n v="10.235309212214524"/>
    <x v="3"/>
  </r>
  <r>
    <n v="559"/>
    <s v="CLIENT_2_9"/>
    <n v="31"/>
    <n v="9865"/>
    <n v="228217"/>
    <n v="0.114"/>
    <n v="10"/>
    <x v="152"/>
    <n v="6"/>
    <n v="20705"/>
    <x v="1"/>
    <n v="2.0988342625443486"/>
    <x v="1"/>
  </r>
  <r>
    <n v="560"/>
    <s v="CLIENT_2_10"/>
    <n v="23"/>
    <n v="3762"/>
    <n v="175930"/>
    <n v="8.5999999999999993E-2"/>
    <n v="30"/>
    <x v="27"/>
    <n v="20"/>
    <n v="28875"/>
    <x v="1"/>
    <n v="7.6754385964912277"/>
    <x v="2"/>
  </r>
  <r>
    <n v="561"/>
    <s v="CLIENT_2_11"/>
    <n v="63"/>
    <n v="6084"/>
    <n v="410714"/>
    <n v="0.104"/>
    <n v="20"/>
    <x v="197"/>
    <n v="13"/>
    <n v="19288"/>
    <x v="2"/>
    <n v="3.1702827087442471"/>
    <x v="3"/>
  </r>
  <r>
    <n v="562"/>
    <s v="CLIENT_2_12"/>
    <n v="51"/>
    <n v="6352"/>
    <n v="480868"/>
    <n v="0.13100000000000001"/>
    <n v="10"/>
    <x v="230"/>
    <n v="17"/>
    <n v="33935"/>
    <x v="2"/>
    <n v="5.3424118387909321"/>
    <x v="5"/>
  </r>
  <r>
    <n v="563"/>
    <s v="CLIENT_2_13"/>
    <n v="32"/>
    <n v="11010"/>
    <n v="485448"/>
    <n v="7.9000000000000001E-2"/>
    <n v="25"/>
    <x v="64"/>
    <n v="12"/>
    <n v="22409"/>
    <x v="2"/>
    <n v="2.0353315168029065"/>
    <x v="3"/>
  </r>
  <r>
    <n v="564"/>
    <s v="CLIENT_2_14"/>
    <n v="24"/>
    <n v="10532"/>
    <n v="344074"/>
    <n v="7.0000000000000007E-2"/>
    <n v="20"/>
    <x v="70"/>
    <n v="4"/>
    <n v="48954"/>
    <x v="1"/>
    <n v="4.6481200151917967"/>
    <x v="2"/>
  </r>
  <r>
    <n v="565"/>
    <s v="CLIENT_2_15"/>
    <n v="38"/>
    <n v="2817"/>
    <n v="164115"/>
    <n v="6.8000000000000005E-2"/>
    <n v="25"/>
    <x v="221"/>
    <n v="20"/>
    <n v="43054"/>
    <x v="2"/>
    <n v="15.283635072772453"/>
    <x v="3"/>
  </r>
  <r>
    <n v="566"/>
    <s v="CLIENT_2_16"/>
    <n v="30"/>
    <n v="7831"/>
    <n v="489832"/>
    <n v="0.11700000000000001"/>
    <n v="25"/>
    <x v="29"/>
    <n v="17"/>
    <n v="4869"/>
    <x v="1"/>
    <n v="0.62175967309411317"/>
    <x v="1"/>
  </r>
  <r>
    <n v="567"/>
    <s v="CLIENT_2_17"/>
    <n v="37"/>
    <n v="14622"/>
    <n v="187776"/>
    <n v="0.115"/>
    <n v="30"/>
    <x v="53"/>
    <n v="13"/>
    <n v="14109"/>
    <x v="0"/>
    <n v="0.96491588018054986"/>
    <x v="4"/>
  </r>
  <r>
    <n v="568"/>
    <s v="CLIENT_2_18"/>
    <n v="39"/>
    <n v="3001"/>
    <n v="98171"/>
    <n v="9.9000000000000005E-2"/>
    <n v="15"/>
    <x v="231"/>
    <n v="9"/>
    <n v="48334"/>
    <x v="2"/>
    <n v="16.105964678440518"/>
    <x v="5"/>
  </r>
  <r>
    <n v="569"/>
    <s v="CLIENT_2_19"/>
    <n v="41"/>
    <n v="11346"/>
    <n v="290151"/>
    <n v="9.8000000000000004E-2"/>
    <n v="25"/>
    <x v="9"/>
    <n v="7"/>
    <n v="27822"/>
    <x v="1"/>
    <n v="2.4521417239555792"/>
    <x v="1"/>
  </r>
  <r>
    <n v="570"/>
    <s v="CLIENT_2_20"/>
    <n v="33"/>
    <n v="3997"/>
    <n v="444360"/>
    <n v="0.114"/>
    <n v="15"/>
    <x v="210"/>
    <n v="12"/>
    <n v="46312"/>
    <x v="2"/>
    <n v="11.586690017513135"/>
    <x v="3"/>
  </r>
  <r>
    <n v="571"/>
    <s v="CLIENT_2_21"/>
    <n v="22"/>
    <n v="3476"/>
    <n v="328192"/>
    <n v="0.111"/>
    <n v="10"/>
    <x v="143"/>
    <n v="9"/>
    <n v="41833"/>
    <x v="1"/>
    <n v="12.034810126582279"/>
    <x v="2"/>
  </r>
  <r>
    <n v="572"/>
    <s v="CLIENT_2_22"/>
    <n v="36"/>
    <n v="11453"/>
    <n v="311211"/>
    <n v="0.13600000000000001"/>
    <n v="15"/>
    <x v="232"/>
    <n v="11"/>
    <n v="18100"/>
    <x v="2"/>
    <n v="1.5803719549463022"/>
    <x v="3"/>
  </r>
  <r>
    <n v="573"/>
    <s v="CLIENT_2_23"/>
    <n v="62"/>
    <n v="5022"/>
    <n v="89689"/>
    <n v="0.14499999999999999"/>
    <n v="20"/>
    <x v="4"/>
    <n v="3"/>
    <n v="30812"/>
    <x v="2"/>
    <n v="6.1354042214257269"/>
    <x v="3"/>
  </r>
  <r>
    <n v="574"/>
    <s v="CLIENT_2_24"/>
    <n v="48"/>
    <n v="9699"/>
    <n v="281028"/>
    <n v="5.5E-2"/>
    <n v="20"/>
    <x v="114"/>
    <n v="20"/>
    <n v="8046"/>
    <x v="0"/>
    <n v="0.8295700587689453"/>
    <x v="4"/>
  </r>
  <r>
    <n v="575"/>
    <s v="CLIENT_2_25"/>
    <n v="62"/>
    <n v="12427"/>
    <n v="459224"/>
    <n v="5.3999999999999999E-2"/>
    <n v="20"/>
    <x v="161"/>
    <n v="7"/>
    <n v="49628"/>
    <x v="1"/>
    <n v="3.9935624044419411"/>
    <x v="1"/>
  </r>
  <r>
    <n v="576"/>
    <s v="CLIENT_2_26"/>
    <n v="60"/>
    <n v="5113"/>
    <n v="227411"/>
    <n v="8.5999999999999993E-2"/>
    <n v="10"/>
    <x v="140"/>
    <n v="3"/>
    <n v="21007"/>
    <x v="2"/>
    <n v="4.1085468413847055"/>
    <x v="5"/>
  </r>
  <r>
    <n v="577"/>
    <s v="CLIENT_2_27"/>
    <n v="21"/>
    <n v="5934"/>
    <n v="272128"/>
    <n v="0.10299999999999999"/>
    <n v="10"/>
    <x v="23"/>
    <n v="2"/>
    <n v="47707"/>
    <x v="1"/>
    <n v="8.0396022918773173"/>
    <x v="2"/>
  </r>
  <r>
    <n v="578"/>
    <s v="CLIENT_2_28"/>
    <n v="65"/>
    <n v="6276"/>
    <n v="358095"/>
    <n v="9.4E-2"/>
    <n v="30"/>
    <x v="143"/>
    <n v="15"/>
    <n v="2617"/>
    <x v="0"/>
    <n v="0.41698534098151691"/>
    <x v="4"/>
  </r>
  <r>
    <n v="579"/>
    <s v="CLIENT_2_29"/>
    <n v="29"/>
    <n v="2757"/>
    <n v="467883"/>
    <n v="0.1"/>
    <n v="15"/>
    <x v="174"/>
    <n v="14"/>
    <n v="48167"/>
    <x v="2"/>
    <n v="17.470801595937612"/>
    <x v="5"/>
  </r>
  <r>
    <n v="580"/>
    <s v="CLIENT_2_30"/>
    <n v="28"/>
    <n v="14660"/>
    <n v="412798"/>
    <n v="0.123"/>
    <n v="30"/>
    <x v="135"/>
    <n v="5"/>
    <n v="28130"/>
    <x v="2"/>
    <n v="1.9188267394270122"/>
    <x v="3"/>
  </r>
  <r>
    <n v="581"/>
    <s v="CLIENT_2_31"/>
    <n v="64"/>
    <n v="6218"/>
    <n v="309054"/>
    <n v="6.4000000000000001E-2"/>
    <n v="20"/>
    <x v="185"/>
    <n v="7"/>
    <n v="43271"/>
    <x v="2"/>
    <n v="6.9589900289482145"/>
    <x v="3"/>
  </r>
  <r>
    <n v="582"/>
    <s v="CLIENT_2_32"/>
    <n v="34"/>
    <n v="11929"/>
    <n v="446635"/>
    <n v="0.08"/>
    <n v="20"/>
    <x v="33"/>
    <n v="15"/>
    <n v="27732"/>
    <x v="2"/>
    <n v="2.3247547992287703"/>
    <x v="3"/>
  </r>
  <r>
    <n v="583"/>
    <s v="CLIENT_2_33"/>
    <n v="34"/>
    <n v="7976"/>
    <n v="337191"/>
    <n v="7.5999999999999998E-2"/>
    <n v="20"/>
    <x v="108"/>
    <n v="4"/>
    <n v="9842"/>
    <x v="0"/>
    <n v="1.2339518555667002"/>
    <x v="0"/>
  </r>
  <r>
    <n v="584"/>
    <s v="CLIENT_2_34"/>
    <n v="59"/>
    <n v="14434"/>
    <n v="154566"/>
    <n v="0.09"/>
    <n v="20"/>
    <x v="77"/>
    <n v="18"/>
    <n v="18297"/>
    <x v="1"/>
    <n v="1.267631980047111"/>
    <x v="1"/>
  </r>
  <r>
    <n v="585"/>
    <s v="CLIENT_2_35"/>
    <n v="34"/>
    <n v="9588"/>
    <n v="151323"/>
    <n v="0.124"/>
    <n v="20"/>
    <x v="196"/>
    <n v="11"/>
    <n v="21072"/>
    <x v="2"/>
    <n v="2.1977471839799749"/>
    <x v="3"/>
  </r>
  <r>
    <n v="586"/>
    <s v="CLIENT_2_36"/>
    <n v="21"/>
    <n v="3221"/>
    <n v="310447"/>
    <n v="9.7000000000000003E-2"/>
    <n v="25"/>
    <x v="4"/>
    <n v="10"/>
    <n v="14898"/>
    <x v="1"/>
    <n v="4.6252716547656005"/>
    <x v="2"/>
  </r>
  <r>
    <n v="587"/>
    <s v="CLIENT_2_37"/>
    <n v="61"/>
    <n v="2874"/>
    <n v="217164"/>
    <n v="8.6999999999999994E-2"/>
    <n v="15"/>
    <x v="36"/>
    <n v="20"/>
    <n v="29545"/>
    <x v="2"/>
    <n v="10.280097425191371"/>
    <x v="3"/>
  </r>
  <r>
    <n v="588"/>
    <s v="CLIENT_2_38"/>
    <n v="56"/>
    <n v="12435"/>
    <n v="180943"/>
    <n v="0.124"/>
    <n v="20"/>
    <x v="152"/>
    <n v="6"/>
    <n v="47219"/>
    <x v="1"/>
    <n v="3.7972657820667473"/>
    <x v="1"/>
  </r>
  <r>
    <n v="589"/>
    <s v="CLIENT_2_39"/>
    <n v="52"/>
    <n v="13416"/>
    <n v="306013"/>
    <n v="9.5000000000000001E-2"/>
    <n v="20"/>
    <x v="117"/>
    <n v="18"/>
    <n v="41443"/>
    <x v="2"/>
    <n v="3.08907274895647"/>
    <x v="3"/>
  </r>
  <r>
    <n v="590"/>
    <s v="CLIENT_2_40"/>
    <n v="61"/>
    <n v="9298"/>
    <n v="432412"/>
    <n v="0.15"/>
    <n v="20"/>
    <x v="74"/>
    <n v="12"/>
    <n v="4753"/>
    <x v="0"/>
    <n v="0.51118520111852006"/>
    <x v="0"/>
  </r>
  <r>
    <n v="591"/>
    <s v="CLIENT_2_41"/>
    <n v="45"/>
    <n v="14349"/>
    <n v="271283"/>
    <n v="6.3E-2"/>
    <n v="10"/>
    <x v="158"/>
    <n v="5"/>
    <n v="25282"/>
    <x v="2"/>
    <n v="1.7619346295909122"/>
    <x v="3"/>
  </r>
  <r>
    <n v="592"/>
    <s v="CLIENT_2_42"/>
    <n v="50"/>
    <n v="11222"/>
    <n v="468548"/>
    <n v="6.9000000000000006E-2"/>
    <n v="15"/>
    <x v="131"/>
    <n v="11"/>
    <n v="337"/>
    <x v="0"/>
    <n v="3.0030297629656033E-2"/>
    <x v="4"/>
  </r>
  <r>
    <n v="593"/>
    <s v="CLIENT_2_43"/>
    <n v="48"/>
    <n v="10077"/>
    <n v="248034"/>
    <n v="0.125"/>
    <n v="30"/>
    <x v="233"/>
    <n v="2"/>
    <n v="39509"/>
    <x v="1"/>
    <n v="3.9207105289272599"/>
    <x v="1"/>
  </r>
  <r>
    <n v="594"/>
    <s v="CLIENT_2_44"/>
    <n v="61"/>
    <n v="6097"/>
    <n v="356824"/>
    <n v="8.1000000000000003E-2"/>
    <n v="20"/>
    <x v="127"/>
    <n v="16"/>
    <n v="11666"/>
    <x v="0"/>
    <n v="1.9134000328030178"/>
    <x v="4"/>
  </r>
  <r>
    <n v="595"/>
    <s v="CLIENT_2_45"/>
    <n v="27"/>
    <n v="8904"/>
    <n v="296239"/>
    <n v="0.13100000000000001"/>
    <n v="20"/>
    <x v="130"/>
    <n v="13"/>
    <n v="16966"/>
    <x v="2"/>
    <n v="1.905435759209344"/>
    <x v="3"/>
  </r>
  <r>
    <n v="596"/>
    <s v="CLIENT_2_46"/>
    <n v="22"/>
    <n v="5551"/>
    <n v="275604"/>
    <n v="0.14199999999999999"/>
    <n v="15"/>
    <x v="15"/>
    <n v="17"/>
    <n v="9557"/>
    <x v="1"/>
    <n v="1.7216717708520988"/>
    <x v="2"/>
  </r>
  <r>
    <n v="597"/>
    <s v="CLIENT_2_47"/>
    <n v="36"/>
    <n v="5097"/>
    <n v="221726"/>
    <n v="8.5000000000000006E-2"/>
    <n v="30"/>
    <x v="122"/>
    <n v="20"/>
    <n v="40988"/>
    <x v="2"/>
    <n v="8.0415930939768483"/>
    <x v="3"/>
  </r>
  <r>
    <n v="598"/>
    <s v="CLIENT_2_48"/>
    <n v="40"/>
    <n v="7669"/>
    <n v="491153"/>
    <n v="5.0999999999999997E-2"/>
    <n v="10"/>
    <x v="62"/>
    <n v="18"/>
    <n v="19305"/>
    <x v="2"/>
    <n v="2.5172773503716259"/>
    <x v="3"/>
  </r>
  <r>
    <n v="599"/>
    <s v="CLIENT_2_49"/>
    <n v="37"/>
    <n v="2950"/>
    <n v="146722"/>
    <n v="7.2999999999999995E-2"/>
    <n v="15"/>
    <x v="144"/>
    <n v="9"/>
    <n v="16283"/>
    <x v="2"/>
    <n v="5.5196610169491525"/>
    <x v="3"/>
  </r>
  <r>
    <n v="600"/>
    <s v="CLIENT_2_50"/>
    <n v="44"/>
    <n v="9442"/>
    <n v="216909"/>
    <n v="8.3000000000000004E-2"/>
    <n v="30"/>
    <x v="5"/>
    <n v="8"/>
    <n v="48618"/>
    <x v="2"/>
    <n v="5.1491209489514933"/>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n v="1"/>
    <s v="CLIENT_1"/>
    <n v="49"/>
    <n v="85404"/>
    <x v="0"/>
    <n v="8.6999999999999994E-2"/>
    <n v="30"/>
    <n v="694"/>
    <n v="9"/>
    <n v="877"/>
    <x v="0"/>
  </r>
  <r>
    <n v="2"/>
    <s v="CLIENT_2"/>
    <n v="48"/>
    <n v="84304"/>
    <x v="1"/>
    <n v="0.11"/>
    <n v="25"/>
    <n v="691"/>
    <n v="0"/>
    <n v="1134"/>
    <x v="0"/>
  </r>
  <r>
    <n v="3"/>
    <s v="CLIENT_3"/>
    <n v="62"/>
    <n v="29394"/>
    <x v="2"/>
    <n v="0.11"/>
    <n v="15"/>
    <n v="639"/>
    <n v="9"/>
    <n v="45094"/>
    <x v="1"/>
  </r>
  <r>
    <n v="4"/>
    <s v="CLIENT_4"/>
    <n v="20"/>
    <n v="15953"/>
    <x v="3"/>
    <n v="9.1999999999999998E-2"/>
    <n v="15"/>
    <n v="615"/>
    <n v="0"/>
    <n v="39579"/>
    <x v="1"/>
  </r>
  <r>
    <n v="5"/>
    <s v="CLIENT_5"/>
    <n v="22"/>
    <n v="69883"/>
    <x v="4"/>
    <n v="9.5000000000000001E-2"/>
    <n v="30"/>
    <n v="757"/>
    <n v="0"/>
    <n v="8542"/>
    <x v="1"/>
  </r>
  <r>
    <n v="6"/>
    <s v="CLIENT_6"/>
    <n v="22"/>
    <n v="41167"/>
    <x v="5"/>
    <n v="9.9000000000000005E-2"/>
    <n v="10"/>
    <n v="798"/>
    <n v="0"/>
    <n v="16593"/>
    <x v="1"/>
  </r>
  <r>
    <n v="7"/>
    <s v="CLIENT_7"/>
    <n v="38"/>
    <n v="34129"/>
    <x v="6"/>
    <n v="0.109"/>
    <n v="20"/>
    <n v="791"/>
    <n v="8"/>
    <n v="28135"/>
    <x v="2"/>
  </r>
  <r>
    <n v="8"/>
    <s v="CLIENT_8"/>
    <n v="62"/>
    <n v="118495"/>
    <x v="7"/>
    <n v="0.107"/>
    <n v="15"/>
    <n v="848"/>
    <n v="15"/>
    <n v="48061"/>
    <x v="2"/>
  </r>
  <r>
    <n v="9"/>
    <s v="CLIENT_9"/>
    <n v="65"/>
    <n v="73088"/>
    <x v="8"/>
    <n v="9.7000000000000003E-2"/>
    <n v="10"/>
    <n v="649"/>
    <n v="8"/>
    <n v="37724"/>
    <x v="1"/>
  </r>
  <r>
    <n v="10"/>
    <s v="CLIENT_10"/>
    <n v="29"/>
    <n v="36542"/>
    <x v="9"/>
    <n v="0.11"/>
    <n v="15"/>
    <n v="629"/>
    <n v="15"/>
    <n v="46599"/>
    <x v="1"/>
  </r>
  <r>
    <n v="11"/>
    <s v="CLIENT_11"/>
    <n v="43"/>
    <n v="116098"/>
    <x v="10"/>
    <n v="9.1999999999999998E-2"/>
    <n v="10"/>
    <n v="838"/>
    <n v="8"/>
    <n v="10251"/>
    <x v="0"/>
  </r>
  <r>
    <n v="12"/>
    <s v="CLIENT_12"/>
    <n v="31"/>
    <n v="104627"/>
    <x v="11"/>
    <n v="8.5000000000000006E-2"/>
    <n v="10"/>
    <n v="662"/>
    <n v="6"/>
    <n v="36256"/>
    <x v="2"/>
  </r>
  <r>
    <n v="13"/>
    <s v="CLIENT_13"/>
    <n v="61"/>
    <n v="79509"/>
    <x v="12"/>
    <n v="0.105"/>
    <n v="20"/>
    <n v="784"/>
    <n v="5"/>
    <n v="13801"/>
    <x v="0"/>
  </r>
  <r>
    <n v="14"/>
    <s v="CLIENT_14"/>
    <n v="34"/>
    <n v="108661"/>
    <x v="13"/>
    <n v="9.8000000000000004E-2"/>
    <n v="30"/>
    <n v="621"/>
    <n v="3"/>
    <n v="45910"/>
    <x v="1"/>
  </r>
  <r>
    <n v="15"/>
    <s v="CLIENT_15"/>
    <n v="57"/>
    <n v="34823"/>
    <x v="14"/>
    <n v="0.114"/>
    <n v="10"/>
    <n v="712"/>
    <n v="12"/>
    <n v="18588"/>
    <x v="2"/>
  </r>
  <r>
    <n v="16"/>
    <s v="CLIENT_16"/>
    <n v="38"/>
    <n v="17478"/>
    <x v="15"/>
    <n v="0.111"/>
    <n v="15"/>
    <n v="670"/>
    <n v="15"/>
    <n v="27343"/>
    <x v="2"/>
  </r>
  <r>
    <n v="17"/>
    <s v="CLIENT_17"/>
    <n v="24"/>
    <n v="64569"/>
    <x v="16"/>
    <n v="8.2000000000000003E-2"/>
    <n v="10"/>
    <n v="609"/>
    <n v="2"/>
    <n v="35929"/>
    <x v="1"/>
  </r>
  <r>
    <n v="18"/>
    <s v="CLIENT_18"/>
    <n v="27"/>
    <n v="22130"/>
    <x v="17"/>
    <n v="9.9000000000000005E-2"/>
    <n v="30"/>
    <n v="645"/>
    <n v="12"/>
    <n v="10067"/>
    <x v="1"/>
  </r>
  <r>
    <n v="19"/>
    <s v="CLIENT_19"/>
    <n v="24"/>
    <n v="114734"/>
    <x v="18"/>
    <n v="0.114"/>
    <n v="10"/>
    <n v="796"/>
    <n v="15"/>
    <n v="48149"/>
    <x v="1"/>
  </r>
  <r>
    <n v="20"/>
    <s v="CLIENT_20"/>
    <n v="49"/>
    <n v="99004"/>
    <x v="19"/>
    <n v="0.111"/>
    <n v="15"/>
    <n v="754"/>
    <n v="5"/>
    <n v="47256"/>
    <x v="2"/>
  </r>
  <r>
    <n v="21"/>
    <s v="CLIENT_21"/>
    <n v="39"/>
    <n v="21629"/>
    <x v="20"/>
    <n v="8.5000000000000006E-2"/>
    <n v="25"/>
    <n v="617"/>
    <n v="0"/>
    <n v="7527"/>
    <x v="1"/>
  </r>
  <r>
    <n v="22"/>
    <s v="CLIENT_22"/>
    <n v="36"/>
    <n v="102497"/>
    <x v="21"/>
    <n v="9.8000000000000004E-2"/>
    <n v="25"/>
    <n v="766"/>
    <n v="7"/>
    <n v="1644"/>
    <x v="0"/>
  </r>
  <r>
    <n v="23"/>
    <s v="CLIENT_23"/>
    <n v="57"/>
    <n v="72608"/>
    <x v="22"/>
    <n v="9.2999999999999999E-2"/>
    <n v="25"/>
    <n v="631"/>
    <n v="3"/>
    <n v="103"/>
    <x v="1"/>
  </r>
  <r>
    <n v="24"/>
    <s v="CLIENT_24"/>
    <n v="53"/>
    <n v="41809"/>
    <x v="23"/>
    <n v="0.12"/>
    <n v="20"/>
    <n v="641"/>
    <n v="3"/>
    <n v="12126"/>
    <x v="1"/>
  </r>
  <r>
    <n v="25"/>
    <s v="CLIENT_25"/>
    <n v="39"/>
    <n v="102275"/>
    <x v="24"/>
    <n v="9.0999999999999998E-2"/>
    <n v="20"/>
    <n v="659"/>
    <n v="14"/>
    <n v="36752"/>
    <x v="2"/>
  </r>
  <r>
    <n v="26"/>
    <s v="CLIENT_26"/>
    <n v="26"/>
    <n v="70534"/>
    <x v="25"/>
    <n v="8.3000000000000004E-2"/>
    <n v="15"/>
    <n v="806"/>
    <n v="6"/>
    <n v="16185"/>
    <x v="2"/>
  </r>
  <r>
    <n v="27"/>
    <s v="CLIENT_27"/>
    <n v="35"/>
    <n v="44086"/>
    <x v="26"/>
    <n v="0.10299999999999999"/>
    <n v="25"/>
    <n v="606"/>
    <n v="2"/>
    <n v="19332"/>
    <x v="1"/>
  </r>
  <r>
    <n v="28"/>
    <s v="CLIENT_28"/>
    <n v="26"/>
    <n v="71076"/>
    <x v="27"/>
    <n v="8.3000000000000004E-2"/>
    <n v="20"/>
    <n v="642"/>
    <n v="5"/>
    <n v="7367"/>
    <x v="1"/>
  </r>
  <r>
    <n v="29"/>
    <s v="CLIENT_29"/>
    <n v="31"/>
    <n v="80285"/>
    <x v="28"/>
    <n v="9.0999999999999998E-2"/>
    <n v="20"/>
    <n v="830"/>
    <n v="1"/>
    <n v="41964"/>
    <x v="2"/>
  </r>
  <r>
    <n v="30"/>
    <s v="CLIENT_30"/>
    <n v="57"/>
    <n v="114181"/>
    <x v="29"/>
    <n v="8.2000000000000003E-2"/>
    <n v="30"/>
    <n v="601"/>
    <n v="3"/>
    <n v="7781"/>
    <x v="1"/>
  </r>
  <r>
    <n v="31"/>
    <s v="CLIENT_31"/>
    <n v="65"/>
    <n v="28789"/>
    <x v="30"/>
    <n v="9.7000000000000003E-2"/>
    <n v="30"/>
    <n v="640"/>
    <n v="11"/>
    <n v="24501"/>
    <x v="1"/>
  </r>
  <r>
    <n v="32"/>
    <s v="CLIENT_32"/>
    <n v="47"/>
    <n v="15153"/>
    <x v="31"/>
    <n v="0.09"/>
    <n v="30"/>
    <n v="602"/>
    <n v="2"/>
    <n v="40668"/>
    <x v="1"/>
  </r>
  <r>
    <n v="33"/>
    <s v="CLIENT_33"/>
    <n v="32"/>
    <n v="47019"/>
    <x v="32"/>
    <n v="9.1999999999999998E-2"/>
    <n v="20"/>
    <n v="657"/>
    <n v="1"/>
    <n v="41718"/>
    <x v="2"/>
  </r>
  <r>
    <n v="34"/>
    <s v="CLIENT_34"/>
    <n v="46"/>
    <n v="86476"/>
    <x v="33"/>
    <n v="0.108"/>
    <n v="25"/>
    <n v="729"/>
    <n v="5"/>
    <n v="45754"/>
    <x v="2"/>
  </r>
  <r>
    <n v="35"/>
    <s v="CLIENT_35"/>
    <n v="53"/>
    <n v="59793"/>
    <x v="34"/>
    <n v="8.1000000000000003E-2"/>
    <n v="10"/>
    <n v="752"/>
    <n v="12"/>
    <n v="7047"/>
    <x v="0"/>
  </r>
  <r>
    <n v="36"/>
    <s v="CLIENT_36"/>
    <n v="58"/>
    <n v="18124"/>
    <x v="35"/>
    <n v="0.114"/>
    <n v="30"/>
    <n v="690"/>
    <n v="1"/>
    <n v="22707"/>
    <x v="2"/>
  </r>
  <r>
    <n v="37"/>
    <s v="CLIENT_37"/>
    <n v="21"/>
    <n v="77097"/>
    <x v="36"/>
    <n v="0.10100000000000001"/>
    <n v="25"/>
    <n v="689"/>
    <n v="0"/>
    <n v="2625"/>
    <x v="1"/>
  </r>
  <r>
    <n v="38"/>
    <s v="CLIENT_38"/>
    <n v="22"/>
    <n v="54288"/>
    <x v="37"/>
    <n v="0.11"/>
    <n v="10"/>
    <n v="850"/>
    <n v="4"/>
    <n v="40677"/>
    <x v="1"/>
  </r>
  <r>
    <n v="39"/>
    <s v="CLIENT_39"/>
    <n v="53"/>
    <n v="115458"/>
    <x v="38"/>
    <n v="0.12"/>
    <n v="30"/>
    <n v="719"/>
    <n v="2"/>
    <n v="37356"/>
    <x v="2"/>
  </r>
  <r>
    <n v="40"/>
    <s v="CLIENT_40"/>
    <n v="35"/>
    <n v="99914"/>
    <x v="39"/>
    <n v="9.1999999999999998E-2"/>
    <n v="25"/>
    <n v="769"/>
    <n v="14"/>
    <n v="44658"/>
    <x v="2"/>
  </r>
  <r>
    <n v="41"/>
    <s v="CLIENT_41"/>
    <n v="59"/>
    <n v="39173"/>
    <x v="40"/>
    <n v="9.1999999999999998E-2"/>
    <n v="15"/>
    <n v="639"/>
    <n v="15"/>
    <n v="49175"/>
    <x v="1"/>
  </r>
  <r>
    <n v="42"/>
    <s v="CLIENT_42"/>
    <n v="38"/>
    <n v="102549"/>
    <x v="41"/>
    <n v="0.111"/>
    <n v="15"/>
    <n v="639"/>
    <n v="2"/>
    <n v="7027"/>
    <x v="1"/>
  </r>
  <r>
    <n v="43"/>
    <s v="CLIENT_43"/>
    <n v="45"/>
    <n v="47771"/>
    <x v="42"/>
    <n v="0.11"/>
    <n v="20"/>
    <n v="638"/>
    <n v="14"/>
    <n v="43163"/>
    <x v="1"/>
  </r>
  <r>
    <n v="44"/>
    <s v="CLIENT_44"/>
    <n v="32"/>
    <n v="91436"/>
    <x v="43"/>
    <n v="9.6000000000000002E-2"/>
    <n v="30"/>
    <n v="799"/>
    <n v="12"/>
    <n v="16986"/>
    <x v="2"/>
  </r>
  <r>
    <n v="45"/>
    <s v="CLIENT_45"/>
    <n v="30"/>
    <n v="107925"/>
    <x v="44"/>
    <n v="9.2999999999999999E-2"/>
    <n v="25"/>
    <n v="829"/>
    <n v="3"/>
    <n v="15264"/>
    <x v="2"/>
  </r>
  <r>
    <n v="46"/>
    <s v="CLIENT_46"/>
    <n v="62"/>
    <n v="37708"/>
    <x v="45"/>
    <n v="0.11600000000000001"/>
    <n v="25"/>
    <n v="670"/>
    <n v="4"/>
    <n v="10154"/>
    <x v="2"/>
  </r>
  <r>
    <n v="47"/>
    <s v="CLIENT_47"/>
    <n v="32"/>
    <n v="102628"/>
    <x v="46"/>
    <n v="8.5000000000000006E-2"/>
    <n v="20"/>
    <n v="774"/>
    <n v="13"/>
    <n v="12710"/>
    <x v="0"/>
  </r>
  <r>
    <n v="48"/>
    <s v="CLIENT_48"/>
    <n v="28"/>
    <n v="78757"/>
    <x v="47"/>
    <n v="0.105"/>
    <n v="15"/>
    <n v="644"/>
    <n v="14"/>
    <n v="36864"/>
    <x v="1"/>
  </r>
  <r>
    <n v="49"/>
    <s v="CLIENT_49"/>
    <n v="31"/>
    <n v="89164"/>
    <x v="48"/>
    <n v="0.11"/>
    <n v="10"/>
    <n v="801"/>
    <n v="0"/>
    <n v="40157"/>
    <x v="2"/>
  </r>
  <r>
    <n v="50"/>
    <s v="CLIENT_50"/>
    <n v="29"/>
    <n v="77072"/>
    <x v="49"/>
    <n v="0.1"/>
    <n v="25"/>
    <n v="829"/>
    <n v="8"/>
    <n v="8509"/>
    <x v="0"/>
  </r>
  <r>
    <n v="51"/>
    <s v="CLIENT_51"/>
    <n v="64"/>
    <n v="60014"/>
    <x v="50"/>
    <n v="0.09"/>
    <n v="30"/>
    <n v="614"/>
    <n v="6"/>
    <n v="23404"/>
    <x v="1"/>
  </r>
  <r>
    <n v="52"/>
    <s v="CLIENT_52"/>
    <n v="54"/>
    <n v="116837"/>
    <x v="51"/>
    <n v="8.7999999999999995E-2"/>
    <n v="20"/>
    <n v="795"/>
    <n v="11"/>
    <n v="40748"/>
    <x v="2"/>
  </r>
  <r>
    <n v="53"/>
    <s v="CLIENT_53"/>
    <n v="30"/>
    <n v="34984"/>
    <x v="52"/>
    <n v="9.9000000000000005E-2"/>
    <n v="20"/>
    <n v="786"/>
    <n v="14"/>
    <n v="30513"/>
    <x v="2"/>
  </r>
  <r>
    <n v="54"/>
    <s v="CLIENT_54"/>
    <n v="43"/>
    <n v="78404"/>
    <x v="53"/>
    <n v="0.10199999999999999"/>
    <n v="20"/>
    <n v="643"/>
    <n v="10"/>
    <n v="17503"/>
    <x v="1"/>
  </r>
  <r>
    <n v="55"/>
    <s v="CLIENT_55"/>
    <n v="43"/>
    <n v="93430"/>
    <x v="54"/>
    <n v="9.0999999999999998E-2"/>
    <n v="10"/>
    <n v="650"/>
    <n v="13"/>
    <n v="4080"/>
    <x v="2"/>
  </r>
  <r>
    <n v="56"/>
    <s v="CLIENT_56"/>
    <n v="40"/>
    <n v="50557"/>
    <x v="55"/>
    <n v="8.5999999999999993E-2"/>
    <n v="25"/>
    <n v="699"/>
    <n v="7"/>
    <n v="29903"/>
    <x v="2"/>
  </r>
  <r>
    <n v="57"/>
    <s v="CLIENT_57"/>
    <n v="23"/>
    <n v="37720"/>
    <x v="56"/>
    <n v="0.106"/>
    <n v="25"/>
    <n v="789"/>
    <n v="6"/>
    <n v="16814"/>
    <x v="1"/>
  </r>
  <r>
    <n v="58"/>
    <s v="CLIENT_58"/>
    <n v="61"/>
    <n v="17295"/>
    <x v="57"/>
    <n v="0.10199999999999999"/>
    <n v="30"/>
    <n v="751"/>
    <n v="1"/>
    <n v="146"/>
    <x v="2"/>
  </r>
  <r>
    <n v="59"/>
    <s v="CLIENT_59"/>
    <n v="56"/>
    <n v="99712"/>
    <x v="58"/>
    <n v="0.10199999999999999"/>
    <n v="20"/>
    <n v="818"/>
    <n v="13"/>
    <n v="1584"/>
    <x v="0"/>
  </r>
  <r>
    <n v="60"/>
    <s v="CLIENT_60"/>
    <n v="31"/>
    <n v="46561"/>
    <x v="59"/>
    <n v="0.107"/>
    <n v="10"/>
    <n v="605"/>
    <n v="6"/>
    <n v="10226"/>
    <x v="1"/>
  </r>
  <r>
    <n v="61"/>
    <s v="CLIENT_61"/>
    <n v="49"/>
    <n v="107721"/>
    <x v="60"/>
    <n v="0.108"/>
    <n v="25"/>
    <n v="835"/>
    <n v="3"/>
    <n v="33580"/>
    <x v="2"/>
  </r>
  <r>
    <n v="62"/>
    <s v="CLIENT_62"/>
    <n v="47"/>
    <n v="57868"/>
    <x v="61"/>
    <n v="9.1999999999999998E-2"/>
    <n v="15"/>
    <n v="750"/>
    <n v="13"/>
    <n v="46707"/>
    <x v="2"/>
  </r>
  <r>
    <n v="63"/>
    <s v="CLIENT_63"/>
    <n v="40"/>
    <n v="46262"/>
    <x v="62"/>
    <n v="0.08"/>
    <n v="20"/>
    <n v="671"/>
    <n v="10"/>
    <n v="39585"/>
    <x v="2"/>
  </r>
  <r>
    <n v="64"/>
    <s v="CLIENT_64"/>
    <n v="36"/>
    <n v="41938"/>
    <x v="63"/>
    <n v="9.5000000000000001E-2"/>
    <n v="20"/>
    <n v="623"/>
    <n v="2"/>
    <n v="44158"/>
    <x v="1"/>
  </r>
  <r>
    <n v="65"/>
    <s v="CLIENT_65"/>
    <n v="56"/>
    <n v="53714"/>
    <x v="64"/>
    <n v="0.108"/>
    <n v="20"/>
    <n v="783"/>
    <n v="7"/>
    <n v="12082"/>
    <x v="0"/>
  </r>
  <r>
    <n v="66"/>
    <s v="CLIENT_66"/>
    <n v="59"/>
    <n v="41091"/>
    <x v="65"/>
    <n v="9.1999999999999998E-2"/>
    <n v="30"/>
    <n v="609"/>
    <n v="0"/>
    <n v="31711"/>
    <x v="1"/>
  </r>
  <r>
    <n v="67"/>
    <s v="CLIENT_67"/>
    <n v="46"/>
    <n v="96709"/>
    <x v="66"/>
    <n v="0.111"/>
    <n v="25"/>
    <n v="709"/>
    <n v="15"/>
    <n v="22643"/>
    <x v="2"/>
  </r>
  <r>
    <n v="68"/>
    <s v="CLIENT_68"/>
    <n v="30"/>
    <n v="81800"/>
    <x v="67"/>
    <n v="0.10199999999999999"/>
    <n v="20"/>
    <n v="713"/>
    <n v="0"/>
    <n v="7100"/>
    <x v="2"/>
  </r>
  <r>
    <n v="69"/>
    <s v="CLIENT_69"/>
    <n v="61"/>
    <n v="73199"/>
    <x v="68"/>
    <n v="0.09"/>
    <n v="10"/>
    <n v="675"/>
    <n v="10"/>
    <n v="7050"/>
    <x v="2"/>
  </r>
  <r>
    <n v="70"/>
    <s v="CLIENT_70"/>
    <n v="32"/>
    <n v="72631"/>
    <x v="69"/>
    <n v="9.8000000000000004E-2"/>
    <n v="10"/>
    <n v="702"/>
    <n v="5"/>
    <n v="21958"/>
    <x v="2"/>
  </r>
  <r>
    <n v="71"/>
    <s v="CLIENT_71"/>
    <n v="20"/>
    <n v="43868"/>
    <x v="70"/>
    <n v="8.6999999999999994E-2"/>
    <n v="20"/>
    <n v="769"/>
    <n v="9"/>
    <n v="2027"/>
    <x v="1"/>
  </r>
  <r>
    <n v="72"/>
    <s v="CLIENT_72"/>
    <n v="60"/>
    <n v="54086"/>
    <x v="71"/>
    <n v="9.1999999999999998E-2"/>
    <n v="20"/>
    <n v="648"/>
    <n v="12"/>
    <n v="1884"/>
    <x v="1"/>
  </r>
  <r>
    <n v="73"/>
    <s v="CLIENT_73"/>
    <n v="48"/>
    <n v="118995"/>
    <x v="72"/>
    <n v="9.6000000000000002E-2"/>
    <n v="10"/>
    <n v="818"/>
    <n v="12"/>
    <n v="14662"/>
    <x v="0"/>
  </r>
  <r>
    <n v="74"/>
    <s v="CLIENT_74"/>
    <n v="39"/>
    <n v="81348"/>
    <x v="73"/>
    <n v="9.4E-2"/>
    <n v="30"/>
    <n v="705"/>
    <n v="3"/>
    <n v="16833"/>
    <x v="2"/>
  </r>
  <r>
    <n v="75"/>
    <s v="CLIENT_75"/>
    <n v="59"/>
    <n v="95027"/>
    <x v="74"/>
    <n v="9.9000000000000005E-2"/>
    <n v="10"/>
    <n v="815"/>
    <n v="7"/>
    <n v="24811"/>
    <x v="2"/>
  </r>
  <r>
    <n v="76"/>
    <s v="CLIENT_76"/>
    <n v="52"/>
    <n v="89805"/>
    <x v="75"/>
    <n v="0.11600000000000001"/>
    <n v="20"/>
    <n v="635"/>
    <n v="2"/>
    <n v="11956"/>
    <x v="1"/>
  </r>
  <r>
    <n v="77"/>
    <s v="CLIENT_77"/>
    <n v="50"/>
    <n v="56757"/>
    <x v="76"/>
    <n v="9.8000000000000004E-2"/>
    <n v="30"/>
    <n v="754"/>
    <n v="4"/>
    <n v="7099"/>
    <x v="0"/>
  </r>
  <r>
    <n v="78"/>
    <s v="CLIENT_78"/>
    <n v="24"/>
    <n v="41094"/>
    <x v="77"/>
    <n v="9.6000000000000002E-2"/>
    <n v="15"/>
    <n v="836"/>
    <n v="15"/>
    <n v="19926"/>
    <x v="1"/>
  </r>
  <r>
    <n v="79"/>
    <s v="CLIENT_79"/>
    <n v="52"/>
    <n v="54331"/>
    <x v="78"/>
    <n v="8.7999999999999995E-2"/>
    <n v="20"/>
    <n v="659"/>
    <n v="6"/>
    <n v="37941"/>
    <x v="2"/>
  </r>
  <r>
    <n v="80"/>
    <s v="CLIENT_80"/>
    <n v="64"/>
    <n v="27622"/>
    <x v="79"/>
    <n v="0.10100000000000001"/>
    <n v="25"/>
    <n v="623"/>
    <n v="2"/>
    <n v="32637"/>
    <x v="1"/>
  </r>
  <r>
    <n v="81"/>
    <s v="CLIENT_81"/>
    <n v="60"/>
    <n v="41436"/>
    <x v="80"/>
    <n v="9.2999999999999999E-2"/>
    <n v="15"/>
    <n v="762"/>
    <n v="6"/>
    <n v="30865"/>
    <x v="2"/>
  </r>
  <r>
    <n v="82"/>
    <s v="CLIENT_82"/>
    <n v="21"/>
    <n v="87152"/>
    <x v="81"/>
    <n v="0.11"/>
    <n v="15"/>
    <n v="639"/>
    <n v="1"/>
    <n v="2783"/>
    <x v="1"/>
  </r>
  <r>
    <n v="83"/>
    <s v="CLIENT_83"/>
    <n v="36"/>
    <n v="100052"/>
    <x v="82"/>
    <n v="0.104"/>
    <n v="20"/>
    <n v="660"/>
    <n v="5"/>
    <n v="28604"/>
    <x v="2"/>
  </r>
  <r>
    <n v="84"/>
    <s v="CLIENT_84"/>
    <n v="20"/>
    <n v="50521"/>
    <x v="83"/>
    <n v="0.106"/>
    <n v="20"/>
    <n v="780"/>
    <n v="12"/>
    <n v="32788"/>
    <x v="1"/>
  </r>
  <r>
    <n v="85"/>
    <s v="CLIENT_85"/>
    <n v="62"/>
    <n v="115457"/>
    <x v="84"/>
    <n v="9.8000000000000004E-2"/>
    <n v="20"/>
    <n v="648"/>
    <n v="3"/>
    <n v="32365"/>
    <x v="1"/>
  </r>
  <r>
    <n v="86"/>
    <s v="CLIENT_86"/>
    <n v="46"/>
    <n v="66814"/>
    <x v="85"/>
    <n v="0.113"/>
    <n v="30"/>
    <n v="767"/>
    <n v="1"/>
    <n v="19320"/>
    <x v="2"/>
  </r>
  <r>
    <n v="87"/>
    <s v="CLIENT_87"/>
    <n v="62"/>
    <n v="116403"/>
    <x v="86"/>
    <n v="0.114"/>
    <n v="10"/>
    <n v="680"/>
    <n v="8"/>
    <n v="12124"/>
    <x v="0"/>
  </r>
  <r>
    <n v="88"/>
    <s v="CLIENT_88"/>
    <n v="43"/>
    <n v="101326"/>
    <x v="87"/>
    <n v="9.6000000000000002E-2"/>
    <n v="15"/>
    <n v="664"/>
    <n v="9"/>
    <n v="39078"/>
    <x v="2"/>
  </r>
  <r>
    <n v="89"/>
    <s v="CLIENT_89"/>
    <n v="26"/>
    <n v="108809"/>
    <x v="88"/>
    <n v="0.09"/>
    <n v="25"/>
    <n v="728"/>
    <n v="15"/>
    <n v="45290"/>
    <x v="2"/>
  </r>
  <r>
    <n v="90"/>
    <s v="CLIENT_90"/>
    <n v="37"/>
    <n v="70495"/>
    <x v="89"/>
    <n v="0.11600000000000001"/>
    <n v="25"/>
    <n v="766"/>
    <n v="13"/>
    <n v="21312"/>
    <x v="2"/>
  </r>
  <r>
    <n v="91"/>
    <s v="CLIENT_91"/>
    <n v="37"/>
    <n v="103670"/>
    <x v="90"/>
    <n v="8.5999999999999993E-2"/>
    <n v="30"/>
    <n v="786"/>
    <n v="2"/>
    <n v="10418"/>
    <x v="0"/>
  </r>
  <r>
    <n v="92"/>
    <s v="CLIENT_92"/>
    <n v="52"/>
    <n v="72140"/>
    <x v="91"/>
    <n v="0.11899999999999999"/>
    <n v="25"/>
    <n v="624"/>
    <n v="4"/>
    <n v="13777"/>
    <x v="1"/>
  </r>
  <r>
    <n v="93"/>
    <s v="CLIENT_93"/>
    <n v="59"/>
    <n v="36492"/>
    <x v="92"/>
    <n v="0.109"/>
    <n v="10"/>
    <n v="801"/>
    <n v="11"/>
    <n v="46987"/>
    <x v="2"/>
  </r>
  <r>
    <n v="94"/>
    <s v="CLIENT_94"/>
    <n v="65"/>
    <n v="77459"/>
    <x v="93"/>
    <n v="0.112"/>
    <n v="15"/>
    <n v="781"/>
    <n v="7"/>
    <n v="38834"/>
    <x v="2"/>
  </r>
  <r>
    <n v="95"/>
    <s v="CLIENT_95"/>
    <n v="43"/>
    <n v="36166"/>
    <x v="94"/>
    <n v="9.9000000000000005E-2"/>
    <n v="10"/>
    <n v="697"/>
    <n v="11"/>
    <n v="44547"/>
    <x v="2"/>
  </r>
  <r>
    <n v="96"/>
    <s v="CLIENT_96"/>
    <n v="43"/>
    <n v="15582"/>
    <x v="95"/>
    <n v="8.5999999999999993E-2"/>
    <n v="15"/>
    <n v="658"/>
    <n v="15"/>
    <n v="39203"/>
    <x v="2"/>
  </r>
  <r>
    <n v="97"/>
    <s v="CLIENT_97"/>
    <n v="34"/>
    <n v="92634"/>
    <x v="96"/>
    <n v="0.12"/>
    <n v="15"/>
    <n v="802"/>
    <n v="11"/>
    <n v="21809"/>
    <x v="2"/>
  </r>
  <r>
    <n v="98"/>
    <s v="CLIENT_98"/>
    <n v="36"/>
    <n v="65888"/>
    <x v="97"/>
    <n v="0.10199999999999999"/>
    <n v="25"/>
    <n v="810"/>
    <n v="4"/>
    <n v="22329"/>
    <x v="2"/>
  </r>
  <r>
    <n v="99"/>
    <s v="CLIENT_99"/>
    <n v="54"/>
    <n v="31983"/>
    <x v="98"/>
    <n v="0.11600000000000001"/>
    <n v="10"/>
    <n v="800"/>
    <n v="4"/>
    <n v="5275"/>
    <x v="0"/>
  </r>
  <r>
    <n v="100"/>
    <s v="CLIENT_100"/>
    <n v="45"/>
    <n v="71713"/>
    <x v="99"/>
    <n v="0.113"/>
    <n v="10"/>
    <n v="744"/>
    <n v="9"/>
    <n v="6123"/>
    <x v="0"/>
  </r>
  <r>
    <n v="101"/>
    <s v="CLIENT_101"/>
    <n v="60"/>
    <n v="59020"/>
    <x v="100"/>
    <n v="9.8000000000000004E-2"/>
    <n v="30"/>
    <n v="716"/>
    <n v="5"/>
    <n v="9616"/>
    <x v="0"/>
  </r>
  <r>
    <n v="102"/>
    <s v="CLIENT_102"/>
    <n v="64"/>
    <n v="21514"/>
    <x v="101"/>
    <n v="0.1"/>
    <n v="20"/>
    <n v="621"/>
    <n v="6"/>
    <n v="19961"/>
    <x v="1"/>
  </r>
  <r>
    <n v="103"/>
    <s v="CLIENT_103"/>
    <n v="58"/>
    <n v="66708"/>
    <x v="102"/>
    <n v="9.7000000000000003E-2"/>
    <n v="15"/>
    <n v="738"/>
    <n v="3"/>
    <n v="22075"/>
    <x v="2"/>
  </r>
  <r>
    <n v="104"/>
    <s v="CLIENT_104"/>
    <n v="31"/>
    <n v="99924"/>
    <x v="103"/>
    <n v="9.4E-2"/>
    <n v="10"/>
    <n v="744"/>
    <n v="1"/>
    <n v="1757"/>
    <x v="2"/>
  </r>
  <r>
    <n v="105"/>
    <s v="CLIENT_105"/>
    <n v="37"/>
    <n v="86399"/>
    <x v="104"/>
    <n v="0.11600000000000001"/>
    <n v="25"/>
    <n v="695"/>
    <n v="9"/>
    <n v="22614"/>
    <x v="2"/>
  </r>
  <r>
    <n v="106"/>
    <s v="CLIENT_106"/>
    <n v="59"/>
    <n v="88889"/>
    <x v="105"/>
    <n v="0.11700000000000001"/>
    <n v="25"/>
    <n v="835"/>
    <n v="14"/>
    <n v="7581"/>
    <x v="0"/>
  </r>
  <r>
    <n v="107"/>
    <s v="CLIENT_107"/>
    <n v="49"/>
    <n v="92690"/>
    <x v="106"/>
    <n v="9.7000000000000003E-2"/>
    <n v="30"/>
    <n v="748"/>
    <n v="8"/>
    <n v="35530"/>
    <x v="2"/>
  </r>
  <r>
    <n v="108"/>
    <s v="CLIENT_108"/>
    <n v="52"/>
    <n v="87131"/>
    <x v="107"/>
    <n v="0.113"/>
    <n v="10"/>
    <n v="745"/>
    <n v="9"/>
    <n v="6523"/>
    <x v="0"/>
  </r>
  <r>
    <n v="109"/>
    <s v="CLIENT_109"/>
    <n v="21"/>
    <n v="52075"/>
    <x v="108"/>
    <n v="0.108"/>
    <n v="25"/>
    <n v="842"/>
    <n v="8"/>
    <n v="6377"/>
    <x v="1"/>
  </r>
  <r>
    <n v="110"/>
    <s v="CLIENT_110"/>
    <n v="63"/>
    <n v="51321"/>
    <x v="109"/>
    <n v="0.109"/>
    <n v="25"/>
    <n v="647"/>
    <n v="1"/>
    <n v="12575"/>
    <x v="1"/>
  </r>
  <r>
    <n v="111"/>
    <s v="CLIENT_111"/>
    <n v="47"/>
    <n v="56807"/>
    <x v="110"/>
    <n v="9.6000000000000002E-2"/>
    <n v="30"/>
    <n v="672"/>
    <n v="0"/>
    <n v="1429"/>
    <x v="2"/>
  </r>
  <r>
    <n v="112"/>
    <s v="CLIENT_112"/>
    <n v="33"/>
    <n v="72853"/>
    <x v="111"/>
    <n v="0.11799999999999999"/>
    <n v="25"/>
    <n v="829"/>
    <n v="8"/>
    <n v="45002"/>
    <x v="2"/>
  </r>
  <r>
    <n v="113"/>
    <s v="CLIENT_113"/>
    <n v="28"/>
    <n v="80079"/>
    <x v="112"/>
    <n v="8.6999999999999994E-2"/>
    <n v="10"/>
    <n v="740"/>
    <n v="9"/>
    <n v="4531"/>
    <x v="0"/>
  </r>
  <r>
    <n v="114"/>
    <s v="CLIENT_114"/>
    <n v="52"/>
    <n v="89260"/>
    <x v="113"/>
    <n v="9.0999999999999998E-2"/>
    <n v="20"/>
    <n v="740"/>
    <n v="4"/>
    <n v="10239"/>
    <x v="0"/>
  </r>
  <r>
    <n v="115"/>
    <s v="CLIENT_115"/>
    <n v="51"/>
    <n v="76994"/>
    <x v="114"/>
    <n v="8.5999999999999993E-2"/>
    <n v="10"/>
    <n v="620"/>
    <n v="8"/>
    <n v="11596"/>
    <x v="1"/>
  </r>
  <r>
    <n v="116"/>
    <s v="CLIENT_116"/>
    <n v="49"/>
    <n v="109519"/>
    <x v="115"/>
    <n v="9.9000000000000005E-2"/>
    <n v="20"/>
    <n v="665"/>
    <n v="13"/>
    <n v="19189"/>
    <x v="2"/>
  </r>
  <r>
    <n v="117"/>
    <s v="CLIENT_117"/>
    <n v="46"/>
    <n v="76574"/>
    <x v="116"/>
    <n v="0.108"/>
    <n v="25"/>
    <n v="743"/>
    <n v="13"/>
    <n v="30212"/>
    <x v="2"/>
  </r>
  <r>
    <n v="118"/>
    <s v="CLIENT_118"/>
    <n v="43"/>
    <n v="62041"/>
    <x v="117"/>
    <n v="8.2000000000000003E-2"/>
    <n v="15"/>
    <n v="850"/>
    <n v="8"/>
    <n v="14809"/>
    <x v="0"/>
  </r>
  <r>
    <n v="119"/>
    <s v="CLIENT_119"/>
    <n v="44"/>
    <n v="99950"/>
    <x v="118"/>
    <n v="0.114"/>
    <n v="20"/>
    <n v="744"/>
    <n v="12"/>
    <n v="27352"/>
    <x v="2"/>
  </r>
  <r>
    <n v="120"/>
    <s v="CLIENT_120"/>
    <n v="60"/>
    <n v="34626"/>
    <x v="119"/>
    <n v="0.104"/>
    <n v="30"/>
    <n v="832"/>
    <n v="4"/>
    <n v="14551"/>
    <x v="0"/>
  </r>
  <r>
    <n v="121"/>
    <s v="CLIENT_121"/>
    <n v="23"/>
    <n v="22233"/>
    <x v="120"/>
    <n v="0.1"/>
    <n v="30"/>
    <n v="804"/>
    <n v="7"/>
    <n v="46731"/>
    <x v="1"/>
  </r>
  <r>
    <n v="122"/>
    <s v="CLIENT_122"/>
    <n v="50"/>
    <n v="71761"/>
    <x v="121"/>
    <n v="0.108"/>
    <n v="30"/>
    <n v="635"/>
    <n v="5"/>
    <n v="41932"/>
    <x v="1"/>
  </r>
  <r>
    <n v="123"/>
    <s v="CLIENT_123"/>
    <n v="42"/>
    <n v="82173"/>
    <x v="122"/>
    <n v="9.6000000000000002E-2"/>
    <n v="25"/>
    <n v="816"/>
    <n v="3"/>
    <n v="48328"/>
    <x v="2"/>
  </r>
  <r>
    <n v="124"/>
    <s v="CLIENT_124"/>
    <n v="46"/>
    <n v="67053"/>
    <x v="123"/>
    <n v="8.5999999999999993E-2"/>
    <n v="15"/>
    <n v="719"/>
    <n v="2"/>
    <n v="47138"/>
    <x v="2"/>
  </r>
  <r>
    <n v="125"/>
    <s v="CLIENT_125"/>
    <n v="58"/>
    <n v="117742"/>
    <x v="124"/>
    <n v="0.09"/>
    <n v="10"/>
    <n v="728"/>
    <n v="9"/>
    <n v="26404"/>
    <x v="2"/>
  </r>
  <r>
    <n v="126"/>
    <s v="CLIENT_126"/>
    <n v="25"/>
    <n v="89891"/>
    <x v="125"/>
    <n v="9.0999999999999998E-2"/>
    <n v="25"/>
    <n v="636"/>
    <n v="9"/>
    <n v="29730"/>
    <x v="1"/>
  </r>
  <r>
    <n v="127"/>
    <s v="CLIENT_127"/>
    <n v="21"/>
    <n v="19662"/>
    <x v="126"/>
    <n v="8.5000000000000006E-2"/>
    <n v="15"/>
    <n v="635"/>
    <n v="8"/>
    <n v="28150"/>
    <x v="1"/>
  </r>
  <r>
    <n v="128"/>
    <s v="CLIENT_128"/>
    <n v="25"/>
    <n v="119108"/>
    <x v="127"/>
    <n v="8.5000000000000006E-2"/>
    <n v="10"/>
    <n v="829"/>
    <n v="14"/>
    <n v="37807"/>
    <x v="2"/>
  </r>
  <r>
    <n v="129"/>
    <s v="CLIENT_129"/>
    <n v="50"/>
    <n v="62929"/>
    <x v="128"/>
    <n v="0.105"/>
    <n v="20"/>
    <n v="849"/>
    <n v="13"/>
    <n v="35997"/>
    <x v="2"/>
  </r>
  <r>
    <n v="130"/>
    <s v="CLIENT_130"/>
    <n v="45"/>
    <n v="104540"/>
    <x v="129"/>
    <n v="0.10299999999999999"/>
    <n v="10"/>
    <n v="631"/>
    <n v="1"/>
    <n v="12966"/>
    <x v="1"/>
  </r>
  <r>
    <n v="131"/>
    <s v="CLIENT_131"/>
    <n v="40"/>
    <n v="93469"/>
    <x v="130"/>
    <n v="0.1"/>
    <n v="10"/>
    <n v="703"/>
    <n v="12"/>
    <n v="24454"/>
    <x v="2"/>
  </r>
  <r>
    <n v="132"/>
    <s v="CLIENT_132"/>
    <n v="46"/>
    <n v="67083"/>
    <x v="131"/>
    <n v="0.09"/>
    <n v="10"/>
    <n v="824"/>
    <n v="12"/>
    <n v="616"/>
    <x v="0"/>
  </r>
  <r>
    <n v="133"/>
    <s v="CLIENT_133"/>
    <n v="36"/>
    <n v="73122"/>
    <x v="132"/>
    <n v="8.6999999999999994E-2"/>
    <n v="15"/>
    <n v="842"/>
    <n v="6"/>
    <n v="24872"/>
    <x v="2"/>
  </r>
  <r>
    <n v="134"/>
    <s v="CLIENT_134"/>
    <n v="55"/>
    <n v="83108"/>
    <x v="133"/>
    <n v="0.11600000000000001"/>
    <n v="10"/>
    <n v="713"/>
    <n v="13"/>
    <n v="20324"/>
    <x v="2"/>
  </r>
  <r>
    <n v="135"/>
    <s v="CLIENT_135"/>
    <n v="27"/>
    <n v="98772"/>
    <x v="134"/>
    <n v="8.5999999999999993E-2"/>
    <n v="20"/>
    <n v="737"/>
    <n v="8"/>
    <n v="34863"/>
    <x v="2"/>
  </r>
  <r>
    <n v="136"/>
    <s v="CLIENT_136"/>
    <n v="39"/>
    <n v="20071"/>
    <x v="135"/>
    <n v="0.11"/>
    <n v="10"/>
    <n v="661"/>
    <n v="12"/>
    <n v="7"/>
    <x v="2"/>
  </r>
  <r>
    <n v="137"/>
    <s v="CLIENT_137"/>
    <n v="42"/>
    <n v="82993"/>
    <x v="136"/>
    <n v="9.6000000000000002E-2"/>
    <n v="10"/>
    <n v="652"/>
    <n v="14"/>
    <n v="11528"/>
    <x v="2"/>
  </r>
  <r>
    <n v="138"/>
    <s v="CLIENT_138"/>
    <n v="56"/>
    <n v="47930"/>
    <x v="137"/>
    <n v="0.09"/>
    <n v="25"/>
    <n v="825"/>
    <n v="8"/>
    <n v="41944"/>
    <x v="2"/>
  </r>
  <r>
    <n v="139"/>
    <s v="CLIENT_139"/>
    <n v="26"/>
    <n v="42978"/>
    <x v="138"/>
    <n v="8.3000000000000004E-2"/>
    <n v="15"/>
    <n v="659"/>
    <n v="9"/>
    <n v="303"/>
    <x v="2"/>
  </r>
  <r>
    <n v="140"/>
    <s v="CLIENT_140"/>
    <n v="21"/>
    <n v="107104"/>
    <x v="139"/>
    <n v="8.3000000000000004E-2"/>
    <n v="10"/>
    <n v="696"/>
    <n v="1"/>
    <n v="42390"/>
    <x v="1"/>
  </r>
  <r>
    <n v="141"/>
    <s v="CLIENT_141"/>
    <n v="53"/>
    <n v="54074"/>
    <x v="140"/>
    <n v="0.108"/>
    <n v="10"/>
    <n v="718"/>
    <n v="2"/>
    <n v="12798"/>
    <x v="0"/>
  </r>
  <r>
    <n v="142"/>
    <s v="CLIENT_142"/>
    <n v="44"/>
    <n v="85141"/>
    <x v="141"/>
    <n v="0.105"/>
    <n v="30"/>
    <n v="839"/>
    <n v="1"/>
    <n v="3267"/>
    <x v="2"/>
  </r>
  <r>
    <n v="143"/>
    <s v="CLIENT_143"/>
    <n v="48"/>
    <n v="99875"/>
    <x v="142"/>
    <n v="9.8000000000000004E-2"/>
    <n v="25"/>
    <n v="612"/>
    <n v="9"/>
    <n v="24149"/>
    <x v="1"/>
  </r>
  <r>
    <n v="144"/>
    <s v="CLIENT_144"/>
    <n v="22"/>
    <n v="78646"/>
    <x v="143"/>
    <n v="9.2999999999999999E-2"/>
    <n v="25"/>
    <n v="644"/>
    <n v="6"/>
    <n v="18775"/>
    <x v="1"/>
  </r>
  <r>
    <n v="145"/>
    <s v="CLIENT_145"/>
    <n v="21"/>
    <n v="22086"/>
    <x v="144"/>
    <n v="0.10100000000000001"/>
    <n v="10"/>
    <n v="822"/>
    <n v="3"/>
    <n v="36850"/>
    <x v="1"/>
  </r>
  <r>
    <n v="146"/>
    <s v="CLIENT_146"/>
    <n v="61"/>
    <n v="108922"/>
    <x v="145"/>
    <n v="0.10199999999999999"/>
    <n v="15"/>
    <n v="689"/>
    <n v="10"/>
    <n v="29901"/>
    <x v="2"/>
  </r>
  <r>
    <n v="147"/>
    <s v="CLIENT_147"/>
    <n v="55"/>
    <n v="105397"/>
    <x v="146"/>
    <n v="0.108"/>
    <n v="15"/>
    <n v="759"/>
    <n v="1"/>
    <n v="29438"/>
    <x v="2"/>
  </r>
  <r>
    <n v="148"/>
    <s v="CLIENT_148"/>
    <n v="28"/>
    <n v="28543"/>
    <x v="147"/>
    <n v="8.5999999999999993E-2"/>
    <n v="20"/>
    <n v="661"/>
    <n v="7"/>
    <n v="37173"/>
    <x v="2"/>
  </r>
  <r>
    <n v="149"/>
    <s v="CLIENT_149"/>
    <n v="25"/>
    <n v="49309"/>
    <x v="148"/>
    <n v="9.8000000000000004E-2"/>
    <n v="25"/>
    <n v="658"/>
    <n v="6"/>
    <n v="71"/>
    <x v="2"/>
  </r>
  <r>
    <n v="150"/>
    <s v="CLIENT_150"/>
    <n v="60"/>
    <n v="66183"/>
    <x v="149"/>
    <n v="9.8000000000000004E-2"/>
    <n v="30"/>
    <n v="734"/>
    <n v="14"/>
    <n v="6261"/>
    <x v="0"/>
  </r>
  <r>
    <n v="151"/>
    <s v="CLIENT_151"/>
    <n v="34"/>
    <n v="41040"/>
    <x v="150"/>
    <n v="0.09"/>
    <n v="30"/>
    <n v="781"/>
    <n v="12"/>
    <n v="19527"/>
    <x v="2"/>
  </r>
  <r>
    <n v="152"/>
    <s v="CLIENT_152"/>
    <n v="57"/>
    <n v="67658"/>
    <x v="151"/>
    <n v="0.108"/>
    <n v="30"/>
    <n v="733"/>
    <n v="8"/>
    <n v="11256"/>
    <x v="0"/>
  </r>
  <r>
    <n v="153"/>
    <s v="CLIENT_153"/>
    <n v="60"/>
    <n v="67384"/>
    <x v="152"/>
    <n v="9.7000000000000003E-2"/>
    <n v="20"/>
    <n v="779"/>
    <n v="8"/>
    <n v="379"/>
    <x v="0"/>
  </r>
  <r>
    <n v="154"/>
    <s v="CLIENT_154"/>
    <n v="43"/>
    <n v="20227"/>
    <x v="153"/>
    <n v="8.3000000000000004E-2"/>
    <n v="15"/>
    <n v="647"/>
    <n v="13"/>
    <n v="40724"/>
    <x v="1"/>
  </r>
  <r>
    <n v="155"/>
    <s v="CLIENT_155"/>
    <n v="24"/>
    <n v="53852"/>
    <x v="154"/>
    <n v="9.1999999999999998E-2"/>
    <n v="20"/>
    <n v="844"/>
    <n v="4"/>
    <n v="31286"/>
    <x v="1"/>
  </r>
  <r>
    <n v="156"/>
    <s v="CLIENT_156"/>
    <n v="44"/>
    <n v="63869"/>
    <x v="155"/>
    <n v="0.113"/>
    <n v="15"/>
    <n v="692"/>
    <n v="15"/>
    <n v="37401"/>
    <x v="2"/>
  </r>
  <r>
    <n v="157"/>
    <s v="CLIENT_157"/>
    <n v="46"/>
    <n v="70406"/>
    <x v="156"/>
    <n v="9.2999999999999999E-2"/>
    <n v="10"/>
    <n v="734"/>
    <n v="9"/>
    <n v="22838"/>
    <x v="2"/>
  </r>
  <r>
    <n v="158"/>
    <s v="CLIENT_158"/>
    <n v="43"/>
    <n v="49239"/>
    <x v="157"/>
    <n v="9.1999999999999998E-2"/>
    <n v="10"/>
    <n v="714"/>
    <n v="2"/>
    <n v="24349"/>
    <x v="2"/>
  </r>
  <r>
    <n v="159"/>
    <s v="CLIENT_159"/>
    <n v="56"/>
    <n v="93992"/>
    <x v="158"/>
    <n v="8.7999999999999995E-2"/>
    <n v="30"/>
    <n v="625"/>
    <n v="9"/>
    <n v="29031"/>
    <x v="1"/>
  </r>
  <r>
    <n v="160"/>
    <s v="CLIENT_160"/>
    <n v="40"/>
    <n v="74884"/>
    <x v="159"/>
    <n v="0.11"/>
    <n v="25"/>
    <n v="702"/>
    <n v="8"/>
    <n v="20267"/>
    <x v="2"/>
  </r>
  <r>
    <n v="161"/>
    <s v="CLIENT_161"/>
    <n v="49"/>
    <n v="92698"/>
    <x v="160"/>
    <n v="8.4000000000000005E-2"/>
    <n v="30"/>
    <n v="666"/>
    <n v="10"/>
    <n v="16097"/>
    <x v="2"/>
  </r>
  <r>
    <n v="162"/>
    <s v="CLIENT_162"/>
    <n v="24"/>
    <n v="51535"/>
    <x v="161"/>
    <n v="0.109"/>
    <n v="20"/>
    <n v="728"/>
    <n v="6"/>
    <n v="43273"/>
    <x v="1"/>
  </r>
  <r>
    <n v="163"/>
    <s v="CLIENT_163"/>
    <n v="50"/>
    <n v="114217"/>
    <x v="162"/>
    <n v="8.4000000000000005E-2"/>
    <n v="10"/>
    <n v="671"/>
    <n v="9"/>
    <n v="1210"/>
    <x v="2"/>
  </r>
  <r>
    <n v="164"/>
    <s v="CLIENT_164"/>
    <n v="33"/>
    <n v="102450"/>
    <x v="163"/>
    <n v="9.7000000000000003E-2"/>
    <n v="20"/>
    <n v="764"/>
    <n v="6"/>
    <n v="31896"/>
    <x v="2"/>
  </r>
  <r>
    <n v="165"/>
    <s v="CLIENT_165"/>
    <n v="28"/>
    <n v="70535"/>
    <x v="164"/>
    <n v="0.113"/>
    <n v="20"/>
    <n v="604"/>
    <n v="14"/>
    <n v="40283"/>
    <x v="1"/>
  </r>
  <r>
    <n v="166"/>
    <s v="CLIENT_166"/>
    <n v="30"/>
    <n v="109917"/>
    <x v="165"/>
    <n v="0.10199999999999999"/>
    <n v="25"/>
    <n v="608"/>
    <n v="3"/>
    <n v="15762"/>
    <x v="1"/>
  </r>
  <r>
    <n v="167"/>
    <s v="CLIENT_167"/>
    <n v="40"/>
    <n v="102239"/>
    <x v="166"/>
    <n v="0.11700000000000001"/>
    <n v="20"/>
    <n v="749"/>
    <n v="0"/>
    <n v="42838"/>
    <x v="2"/>
  </r>
  <r>
    <n v="168"/>
    <s v="CLIENT_168"/>
    <n v="65"/>
    <n v="79264"/>
    <x v="167"/>
    <n v="0.10199999999999999"/>
    <n v="25"/>
    <n v="659"/>
    <n v="0"/>
    <n v="13597"/>
    <x v="2"/>
  </r>
  <r>
    <n v="169"/>
    <s v="CLIENT_169"/>
    <n v="38"/>
    <n v="106153"/>
    <x v="168"/>
    <n v="9.4E-2"/>
    <n v="20"/>
    <n v="754"/>
    <n v="11"/>
    <n v="7823"/>
    <x v="0"/>
  </r>
  <r>
    <n v="170"/>
    <s v="CLIENT_170"/>
    <n v="60"/>
    <n v="96262"/>
    <x v="169"/>
    <n v="0.10100000000000001"/>
    <n v="15"/>
    <n v="792"/>
    <n v="5"/>
    <n v="8271"/>
    <x v="0"/>
  </r>
  <r>
    <n v="171"/>
    <s v="CLIENT_171"/>
    <n v="49"/>
    <n v="68071"/>
    <x v="170"/>
    <n v="8.5999999999999993E-2"/>
    <n v="10"/>
    <n v="719"/>
    <n v="2"/>
    <n v="31533"/>
    <x v="2"/>
  </r>
  <r>
    <n v="172"/>
    <s v="CLIENT_172"/>
    <n v="49"/>
    <n v="77104"/>
    <x v="171"/>
    <n v="9.0999999999999998E-2"/>
    <n v="30"/>
    <n v="843"/>
    <n v="13"/>
    <n v="35380"/>
    <x v="2"/>
  </r>
  <r>
    <n v="173"/>
    <s v="CLIENT_173"/>
    <n v="38"/>
    <n v="22017"/>
    <x v="172"/>
    <n v="0.109"/>
    <n v="10"/>
    <n v="801"/>
    <n v="6"/>
    <n v="46652"/>
    <x v="2"/>
  </r>
  <r>
    <n v="174"/>
    <s v="CLIENT_174"/>
    <n v="24"/>
    <n v="28650"/>
    <x v="173"/>
    <n v="8.7999999999999995E-2"/>
    <n v="20"/>
    <n v="644"/>
    <n v="8"/>
    <n v="35575"/>
    <x v="1"/>
  </r>
  <r>
    <n v="175"/>
    <s v="CLIENT_175"/>
    <n v="62"/>
    <n v="91425"/>
    <x v="174"/>
    <n v="9.5000000000000001E-2"/>
    <n v="25"/>
    <n v="800"/>
    <n v="15"/>
    <n v="23192"/>
    <x v="2"/>
  </r>
  <r>
    <n v="176"/>
    <s v="CLIENT_176"/>
    <n v="39"/>
    <n v="101029"/>
    <x v="175"/>
    <n v="9.0999999999999998E-2"/>
    <n v="30"/>
    <n v="633"/>
    <n v="4"/>
    <n v="8944"/>
    <x v="1"/>
  </r>
  <r>
    <n v="177"/>
    <s v="CLIENT_177"/>
    <n v="63"/>
    <n v="104676"/>
    <x v="176"/>
    <n v="0.10199999999999999"/>
    <n v="30"/>
    <n v="847"/>
    <n v="9"/>
    <n v="32997"/>
    <x v="2"/>
  </r>
  <r>
    <n v="178"/>
    <s v="CLIENT_178"/>
    <n v="36"/>
    <n v="71336"/>
    <x v="177"/>
    <n v="0.114"/>
    <n v="30"/>
    <n v="602"/>
    <n v="1"/>
    <n v="28057"/>
    <x v="1"/>
  </r>
  <r>
    <n v="179"/>
    <s v="CLIENT_179"/>
    <n v="57"/>
    <n v="106532"/>
    <x v="178"/>
    <n v="0.10100000000000001"/>
    <n v="30"/>
    <n v="704"/>
    <n v="1"/>
    <n v="31985"/>
    <x v="2"/>
  </r>
  <r>
    <n v="180"/>
    <s v="CLIENT_180"/>
    <n v="41"/>
    <n v="27675"/>
    <x v="179"/>
    <n v="0.11700000000000001"/>
    <n v="20"/>
    <n v="671"/>
    <n v="6"/>
    <n v="42145"/>
    <x v="2"/>
  </r>
  <r>
    <n v="181"/>
    <s v="CLIENT_181"/>
    <n v="64"/>
    <n v="111610"/>
    <x v="180"/>
    <n v="0.08"/>
    <n v="25"/>
    <n v="845"/>
    <n v="8"/>
    <n v="30348"/>
    <x v="2"/>
  </r>
  <r>
    <n v="182"/>
    <s v="CLIENT_182"/>
    <n v="25"/>
    <n v="108171"/>
    <x v="181"/>
    <n v="0.113"/>
    <n v="15"/>
    <n v="817"/>
    <n v="5"/>
    <n v="44055"/>
    <x v="2"/>
  </r>
  <r>
    <n v="183"/>
    <s v="CLIENT_183"/>
    <n v="22"/>
    <n v="95901"/>
    <x v="182"/>
    <n v="0.113"/>
    <n v="25"/>
    <n v="776"/>
    <n v="11"/>
    <n v="47713"/>
    <x v="1"/>
  </r>
  <r>
    <n v="184"/>
    <s v="CLIENT_184"/>
    <n v="61"/>
    <n v="112654"/>
    <x v="183"/>
    <n v="9.9000000000000005E-2"/>
    <n v="10"/>
    <n v="719"/>
    <n v="15"/>
    <n v="38355"/>
    <x v="2"/>
  </r>
  <r>
    <n v="185"/>
    <s v="CLIENT_185"/>
    <n v="55"/>
    <n v="41790"/>
    <x v="184"/>
    <n v="0.112"/>
    <n v="25"/>
    <n v="759"/>
    <n v="14"/>
    <n v="4899"/>
    <x v="0"/>
  </r>
  <r>
    <n v="186"/>
    <s v="CLIENT_186"/>
    <n v="63"/>
    <n v="96955"/>
    <x v="185"/>
    <n v="9.7000000000000003E-2"/>
    <n v="20"/>
    <n v="824"/>
    <n v="13"/>
    <n v="36032"/>
    <x v="2"/>
  </r>
  <r>
    <n v="187"/>
    <s v="CLIENT_187"/>
    <n v="54"/>
    <n v="34143"/>
    <x v="186"/>
    <n v="0.1"/>
    <n v="30"/>
    <n v="607"/>
    <n v="5"/>
    <n v="31935"/>
    <x v="1"/>
  </r>
  <r>
    <n v="188"/>
    <s v="CLIENT_188"/>
    <n v="43"/>
    <n v="37189"/>
    <x v="187"/>
    <n v="0.11700000000000001"/>
    <n v="30"/>
    <n v="687"/>
    <n v="2"/>
    <n v="8433"/>
    <x v="0"/>
  </r>
  <r>
    <n v="189"/>
    <s v="CLIENT_189"/>
    <n v="65"/>
    <n v="46554"/>
    <x v="188"/>
    <n v="8.3000000000000004E-2"/>
    <n v="25"/>
    <n v="609"/>
    <n v="15"/>
    <n v="13455"/>
    <x v="1"/>
  </r>
  <r>
    <n v="190"/>
    <s v="CLIENT_190"/>
    <n v="46"/>
    <n v="38295"/>
    <x v="189"/>
    <n v="0.113"/>
    <n v="25"/>
    <n v="814"/>
    <n v="10"/>
    <n v="34533"/>
    <x v="2"/>
  </r>
  <r>
    <n v="191"/>
    <s v="CLIENT_191"/>
    <n v="40"/>
    <n v="53851"/>
    <x v="190"/>
    <n v="0.1"/>
    <n v="10"/>
    <n v="792"/>
    <n v="9"/>
    <n v="45811"/>
    <x v="2"/>
  </r>
  <r>
    <n v="192"/>
    <s v="CLIENT_192"/>
    <n v="49"/>
    <n v="56806"/>
    <x v="191"/>
    <n v="8.5000000000000006E-2"/>
    <n v="30"/>
    <n v="746"/>
    <n v="14"/>
    <n v="4894"/>
    <x v="0"/>
  </r>
  <r>
    <n v="193"/>
    <s v="CLIENT_193"/>
    <n v="55"/>
    <n v="108799"/>
    <x v="192"/>
    <n v="8.5000000000000006E-2"/>
    <n v="15"/>
    <n v="689"/>
    <n v="14"/>
    <n v="7326"/>
    <x v="0"/>
  </r>
  <r>
    <n v="194"/>
    <s v="CLIENT_194"/>
    <n v="60"/>
    <n v="36384"/>
    <x v="193"/>
    <n v="0.104"/>
    <n v="10"/>
    <n v="683"/>
    <n v="12"/>
    <n v="21540"/>
    <x v="2"/>
  </r>
  <r>
    <n v="195"/>
    <s v="CLIENT_195"/>
    <n v="30"/>
    <n v="111728"/>
    <x v="194"/>
    <n v="0.104"/>
    <n v="20"/>
    <n v="844"/>
    <n v="5"/>
    <n v="46030"/>
    <x v="2"/>
  </r>
  <r>
    <n v="196"/>
    <s v="CLIENT_196"/>
    <n v="49"/>
    <n v="48492"/>
    <x v="195"/>
    <n v="0.109"/>
    <n v="30"/>
    <n v="821"/>
    <n v="3"/>
    <n v="39878"/>
    <x v="2"/>
  </r>
  <r>
    <n v="197"/>
    <s v="CLIENT_197"/>
    <n v="26"/>
    <n v="116451"/>
    <x v="196"/>
    <n v="8.5999999999999993E-2"/>
    <n v="30"/>
    <n v="738"/>
    <n v="12"/>
    <n v="46640"/>
    <x v="2"/>
  </r>
  <r>
    <n v="198"/>
    <s v="CLIENT_198"/>
    <n v="21"/>
    <n v="78631"/>
    <x v="197"/>
    <n v="0.109"/>
    <n v="20"/>
    <n v="601"/>
    <n v="11"/>
    <n v="19566"/>
    <x v="1"/>
  </r>
  <r>
    <n v="199"/>
    <s v="CLIENT_199"/>
    <n v="34"/>
    <n v="100350"/>
    <x v="198"/>
    <n v="0.1"/>
    <n v="30"/>
    <n v="799"/>
    <n v="11"/>
    <n v="11122"/>
    <x v="0"/>
  </r>
  <r>
    <n v="200"/>
    <s v="CLIENT_200"/>
    <n v="52"/>
    <n v="83917"/>
    <x v="199"/>
    <n v="0.11"/>
    <n v="30"/>
    <n v="641"/>
    <n v="2"/>
    <n v="1986"/>
    <x v="1"/>
  </r>
  <r>
    <n v="201"/>
    <s v="CLIENT_201"/>
    <n v="26"/>
    <n v="85457"/>
    <x v="200"/>
    <n v="8.7999999999999995E-2"/>
    <n v="20"/>
    <n v="744"/>
    <n v="10"/>
    <n v="16319"/>
    <x v="2"/>
  </r>
  <r>
    <n v="202"/>
    <s v="CLIENT_202"/>
    <n v="52"/>
    <n v="24501"/>
    <x v="201"/>
    <n v="0.08"/>
    <n v="25"/>
    <n v="676"/>
    <n v="12"/>
    <n v="15488"/>
    <x v="2"/>
  </r>
  <r>
    <n v="203"/>
    <s v="CLIENT_203"/>
    <n v="22"/>
    <n v="75847"/>
    <x v="202"/>
    <n v="0.109"/>
    <n v="15"/>
    <n v="747"/>
    <n v="2"/>
    <n v="8902"/>
    <x v="1"/>
  </r>
  <r>
    <n v="204"/>
    <s v="CLIENT_204"/>
    <n v="28"/>
    <n v="101807"/>
    <x v="203"/>
    <n v="9.2999999999999999E-2"/>
    <n v="25"/>
    <n v="658"/>
    <n v="13"/>
    <n v="41167"/>
    <x v="2"/>
  </r>
  <r>
    <n v="205"/>
    <s v="CLIENT_205"/>
    <n v="32"/>
    <n v="119120"/>
    <x v="204"/>
    <n v="0.109"/>
    <n v="10"/>
    <n v="706"/>
    <n v="15"/>
    <n v="8281"/>
    <x v="0"/>
  </r>
  <r>
    <n v="206"/>
    <s v="CLIENT_206"/>
    <n v="47"/>
    <n v="80241"/>
    <x v="205"/>
    <n v="0.11700000000000001"/>
    <n v="15"/>
    <n v="776"/>
    <n v="6"/>
    <n v="29522"/>
    <x v="2"/>
  </r>
  <r>
    <n v="207"/>
    <s v="CLIENT_207"/>
    <n v="61"/>
    <n v="32788"/>
    <x v="206"/>
    <n v="9.1999999999999998E-2"/>
    <n v="10"/>
    <n v="708"/>
    <n v="5"/>
    <n v="17221"/>
    <x v="2"/>
  </r>
  <r>
    <n v="208"/>
    <s v="CLIENT_208"/>
    <n v="39"/>
    <n v="53195"/>
    <x v="207"/>
    <n v="0.105"/>
    <n v="25"/>
    <n v="633"/>
    <n v="9"/>
    <n v="45695"/>
    <x v="1"/>
  </r>
  <r>
    <n v="209"/>
    <s v="CLIENT_209"/>
    <n v="54"/>
    <n v="56404"/>
    <x v="208"/>
    <n v="8.6999999999999994E-2"/>
    <n v="25"/>
    <n v="694"/>
    <n v="2"/>
    <n v="17141"/>
    <x v="2"/>
  </r>
  <r>
    <n v="210"/>
    <s v="CLIENT_210"/>
    <n v="54"/>
    <n v="55629"/>
    <x v="209"/>
    <n v="9.6000000000000002E-2"/>
    <n v="10"/>
    <n v="847"/>
    <n v="15"/>
    <n v="24268"/>
    <x v="2"/>
  </r>
  <r>
    <n v="211"/>
    <s v="CLIENT_211"/>
    <n v="26"/>
    <n v="37671"/>
    <x v="210"/>
    <n v="8.1000000000000003E-2"/>
    <n v="20"/>
    <n v="736"/>
    <n v="12"/>
    <n v="49559"/>
    <x v="2"/>
  </r>
  <r>
    <n v="212"/>
    <s v="CLIENT_212"/>
    <n v="33"/>
    <n v="42512"/>
    <x v="211"/>
    <n v="0.11899999999999999"/>
    <n v="25"/>
    <n v="797"/>
    <n v="0"/>
    <n v="47517"/>
    <x v="2"/>
  </r>
  <r>
    <n v="213"/>
    <s v="CLIENT_213"/>
    <n v="45"/>
    <n v="28675"/>
    <x v="212"/>
    <n v="0.106"/>
    <n v="25"/>
    <n v="834"/>
    <n v="0"/>
    <n v="16642"/>
    <x v="2"/>
  </r>
  <r>
    <n v="214"/>
    <s v="CLIENT_214"/>
    <n v="65"/>
    <n v="50649"/>
    <x v="213"/>
    <n v="0.108"/>
    <n v="15"/>
    <n v="642"/>
    <n v="0"/>
    <n v="46310"/>
    <x v="1"/>
  </r>
  <r>
    <n v="215"/>
    <s v="CLIENT_215"/>
    <n v="32"/>
    <n v="16292"/>
    <x v="214"/>
    <n v="9.1999999999999998E-2"/>
    <n v="30"/>
    <n v="765"/>
    <n v="14"/>
    <n v="38717"/>
    <x v="2"/>
  </r>
  <r>
    <n v="216"/>
    <s v="CLIENT_216"/>
    <n v="56"/>
    <n v="89667"/>
    <x v="215"/>
    <n v="8.5000000000000006E-2"/>
    <n v="10"/>
    <n v="696"/>
    <n v="14"/>
    <n v="8680"/>
    <x v="0"/>
  </r>
  <r>
    <n v="217"/>
    <s v="CLIENT_217"/>
    <n v="62"/>
    <n v="65744"/>
    <x v="216"/>
    <n v="0.111"/>
    <n v="10"/>
    <n v="689"/>
    <n v="10"/>
    <n v="34575"/>
    <x v="2"/>
  </r>
  <r>
    <n v="218"/>
    <s v="CLIENT_218"/>
    <n v="57"/>
    <n v="16863"/>
    <x v="217"/>
    <n v="8.8999999999999996E-2"/>
    <n v="25"/>
    <n v="605"/>
    <n v="1"/>
    <n v="6751"/>
    <x v="1"/>
  </r>
  <r>
    <n v="219"/>
    <s v="CLIENT_219"/>
    <n v="28"/>
    <n v="116664"/>
    <x v="218"/>
    <n v="8.7999999999999995E-2"/>
    <n v="15"/>
    <n v="830"/>
    <n v="10"/>
    <n v="3473"/>
    <x v="0"/>
  </r>
  <r>
    <n v="220"/>
    <s v="CLIENT_220"/>
    <n v="51"/>
    <n v="23805"/>
    <x v="219"/>
    <n v="9.1999999999999998E-2"/>
    <n v="10"/>
    <n v="636"/>
    <n v="13"/>
    <n v="4476"/>
    <x v="1"/>
  </r>
  <r>
    <n v="221"/>
    <s v="CLIENT_221"/>
    <n v="63"/>
    <n v="92308"/>
    <x v="220"/>
    <n v="9.2999999999999999E-2"/>
    <n v="20"/>
    <n v="758"/>
    <n v="6"/>
    <n v="37113"/>
    <x v="2"/>
  </r>
  <r>
    <n v="222"/>
    <s v="CLIENT_222"/>
    <n v="22"/>
    <n v="101871"/>
    <x v="221"/>
    <n v="8.6999999999999994E-2"/>
    <n v="20"/>
    <n v="832"/>
    <n v="11"/>
    <n v="39615"/>
    <x v="1"/>
  </r>
  <r>
    <n v="223"/>
    <s v="CLIENT_223"/>
    <n v="44"/>
    <n v="73466"/>
    <x v="222"/>
    <n v="9.7000000000000003E-2"/>
    <n v="15"/>
    <n v="711"/>
    <n v="11"/>
    <n v="11439"/>
    <x v="0"/>
  </r>
  <r>
    <n v="224"/>
    <s v="CLIENT_224"/>
    <n v="34"/>
    <n v="29499"/>
    <x v="223"/>
    <n v="0.10100000000000001"/>
    <n v="30"/>
    <n v="802"/>
    <n v="13"/>
    <n v="7986"/>
    <x v="0"/>
  </r>
  <r>
    <n v="225"/>
    <s v="CLIENT_225"/>
    <n v="52"/>
    <n v="117244"/>
    <x v="224"/>
    <n v="8.3000000000000004E-2"/>
    <n v="15"/>
    <n v="688"/>
    <n v="9"/>
    <n v="28768"/>
    <x v="2"/>
  </r>
  <r>
    <n v="226"/>
    <s v="CLIENT_226"/>
    <n v="61"/>
    <n v="61805"/>
    <x v="225"/>
    <n v="0.11600000000000001"/>
    <n v="20"/>
    <n v="692"/>
    <n v="14"/>
    <n v="27226"/>
    <x v="2"/>
  </r>
  <r>
    <n v="227"/>
    <s v="CLIENT_227"/>
    <n v="32"/>
    <n v="63017"/>
    <x v="226"/>
    <n v="0.114"/>
    <n v="15"/>
    <n v="619"/>
    <n v="11"/>
    <n v="37085"/>
    <x v="1"/>
  </r>
  <r>
    <n v="228"/>
    <s v="CLIENT_228"/>
    <n v="60"/>
    <n v="30363"/>
    <x v="227"/>
    <n v="0.09"/>
    <n v="15"/>
    <n v="600"/>
    <n v="11"/>
    <n v="38610"/>
    <x v="1"/>
  </r>
  <r>
    <n v="229"/>
    <s v="CLIENT_229"/>
    <n v="55"/>
    <n v="115452"/>
    <x v="228"/>
    <n v="9.8000000000000004E-2"/>
    <n v="15"/>
    <n v="780"/>
    <n v="13"/>
    <n v="29253"/>
    <x v="2"/>
  </r>
  <r>
    <n v="230"/>
    <s v="CLIENT_230"/>
    <n v="39"/>
    <n v="19159"/>
    <x v="229"/>
    <n v="0.115"/>
    <n v="30"/>
    <n v="688"/>
    <n v="4"/>
    <n v="29710"/>
    <x v="2"/>
  </r>
  <r>
    <n v="231"/>
    <s v="CLIENT_231"/>
    <n v="28"/>
    <n v="89448"/>
    <x v="230"/>
    <n v="8.6999999999999994E-2"/>
    <n v="25"/>
    <n v="785"/>
    <n v="13"/>
    <n v="1827"/>
    <x v="0"/>
  </r>
  <r>
    <n v="232"/>
    <s v="CLIENT_232"/>
    <n v="50"/>
    <n v="86306"/>
    <x v="231"/>
    <n v="0.104"/>
    <n v="20"/>
    <n v="687"/>
    <n v="11"/>
    <n v="20871"/>
    <x v="2"/>
  </r>
  <r>
    <n v="233"/>
    <s v="CLIENT_233"/>
    <n v="33"/>
    <n v="115091"/>
    <x v="232"/>
    <n v="8.1000000000000003E-2"/>
    <n v="30"/>
    <n v="749"/>
    <n v="9"/>
    <n v="28993"/>
    <x v="2"/>
  </r>
  <r>
    <n v="234"/>
    <s v="CLIENT_234"/>
    <n v="62"/>
    <n v="112101"/>
    <x v="233"/>
    <n v="0.104"/>
    <n v="20"/>
    <n v="623"/>
    <n v="3"/>
    <n v="35262"/>
    <x v="1"/>
  </r>
  <r>
    <n v="235"/>
    <s v="CLIENT_235"/>
    <n v="58"/>
    <n v="31085"/>
    <x v="234"/>
    <n v="8.5000000000000006E-2"/>
    <n v="10"/>
    <n v="667"/>
    <n v="10"/>
    <n v="30382"/>
    <x v="2"/>
  </r>
  <r>
    <n v="236"/>
    <s v="CLIENT_236"/>
    <n v="63"/>
    <n v="80317"/>
    <x v="235"/>
    <n v="0.108"/>
    <n v="15"/>
    <n v="701"/>
    <n v="5"/>
    <n v="47904"/>
    <x v="2"/>
  </r>
  <r>
    <n v="237"/>
    <s v="CLIENT_237"/>
    <n v="20"/>
    <n v="63123"/>
    <x v="236"/>
    <n v="9.9000000000000005E-2"/>
    <n v="30"/>
    <n v="700"/>
    <n v="8"/>
    <n v="13184"/>
    <x v="1"/>
  </r>
  <r>
    <n v="238"/>
    <s v="CLIENT_238"/>
    <n v="35"/>
    <n v="81059"/>
    <x v="237"/>
    <n v="0.106"/>
    <n v="15"/>
    <n v="663"/>
    <n v="7"/>
    <n v="44975"/>
    <x v="2"/>
  </r>
  <r>
    <n v="239"/>
    <s v="CLIENT_239"/>
    <n v="42"/>
    <n v="102770"/>
    <x v="238"/>
    <n v="0.1"/>
    <n v="25"/>
    <n v="836"/>
    <n v="14"/>
    <n v="10992"/>
    <x v="0"/>
  </r>
  <r>
    <n v="240"/>
    <s v="CLIENT_240"/>
    <n v="65"/>
    <n v="46179"/>
    <x v="239"/>
    <n v="0.10299999999999999"/>
    <n v="25"/>
    <n v="794"/>
    <n v="6"/>
    <n v="15490"/>
    <x v="2"/>
  </r>
  <r>
    <n v="241"/>
    <s v="CLIENT_241"/>
    <n v="28"/>
    <n v="71647"/>
    <x v="240"/>
    <n v="0.11600000000000001"/>
    <n v="25"/>
    <n v="632"/>
    <n v="2"/>
    <n v="18214"/>
    <x v="1"/>
  </r>
  <r>
    <n v="242"/>
    <s v="CLIENT_242"/>
    <n v="36"/>
    <n v="89658"/>
    <x v="241"/>
    <n v="8.1000000000000003E-2"/>
    <n v="15"/>
    <n v="754"/>
    <n v="15"/>
    <n v="21972"/>
    <x v="2"/>
  </r>
  <r>
    <n v="243"/>
    <s v="CLIENT_243"/>
    <n v="40"/>
    <n v="77581"/>
    <x v="242"/>
    <n v="0.104"/>
    <n v="30"/>
    <n v="787"/>
    <n v="9"/>
    <n v="41533"/>
    <x v="2"/>
  </r>
  <r>
    <n v="244"/>
    <s v="CLIENT_244"/>
    <n v="47"/>
    <n v="55270"/>
    <x v="243"/>
    <n v="0.115"/>
    <n v="30"/>
    <n v="625"/>
    <n v="1"/>
    <n v="19178"/>
    <x v="1"/>
  </r>
  <r>
    <n v="245"/>
    <s v="CLIENT_245"/>
    <n v="22"/>
    <n v="54031"/>
    <x v="244"/>
    <n v="9.9000000000000005E-2"/>
    <n v="20"/>
    <n v="751"/>
    <n v="13"/>
    <n v="45407"/>
    <x v="1"/>
  </r>
  <r>
    <n v="246"/>
    <s v="CLIENT_246"/>
    <n v="25"/>
    <n v="116638"/>
    <x v="245"/>
    <n v="8.3000000000000004E-2"/>
    <n v="15"/>
    <n v="616"/>
    <n v="6"/>
    <n v="38040"/>
    <x v="1"/>
  </r>
  <r>
    <n v="247"/>
    <s v="CLIENT_247"/>
    <n v="21"/>
    <n v="21920"/>
    <x v="246"/>
    <n v="8.3000000000000004E-2"/>
    <n v="30"/>
    <n v="780"/>
    <n v="3"/>
    <n v="40515"/>
    <x v="1"/>
  </r>
  <r>
    <n v="248"/>
    <s v="CLIENT_248"/>
    <n v="43"/>
    <n v="104612"/>
    <x v="247"/>
    <n v="0.112"/>
    <n v="20"/>
    <n v="759"/>
    <n v="8"/>
    <n v="10408"/>
    <x v="0"/>
  </r>
  <r>
    <n v="249"/>
    <s v="CLIENT_249"/>
    <n v="37"/>
    <n v="20632"/>
    <x v="248"/>
    <n v="9.1999999999999998E-2"/>
    <n v="25"/>
    <n v="736"/>
    <n v="4"/>
    <n v="24357"/>
    <x v="2"/>
  </r>
  <r>
    <n v="250"/>
    <s v="CLIENT_250"/>
    <n v="22"/>
    <n v="92439"/>
    <x v="249"/>
    <n v="9.1999999999999998E-2"/>
    <n v="10"/>
    <n v="645"/>
    <n v="4"/>
    <n v="30783"/>
    <x v="1"/>
  </r>
  <r>
    <n v="251"/>
    <s v="CLIENT_251"/>
    <n v="61"/>
    <n v="49969"/>
    <x v="250"/>
    <n v="9.9000000000000005E-2"/>
    <n v="25"/>
    <n v="613"/>
    <n v="0"/>
    <n v="9538"/>
    <x v="1"/>
  </r>
  <r>
    <n v="252"/>
    <s v="CLIENT_252"/>
    <n v="29"/>
    <n v="87678"/>
    <x v="251"/>
    <n v="0.113"/>
    <n v="20"/>
    <n v="607"/>
    <n v="14"/>
    <n v="9861"/>
    <x v="1"/>
  </r>
  <r>
    <n v="253"/>
    <s v="CLIENT_253"/>
    <n v="47"/>
    <n v="61993"/>
    <x v="252"/>
    <n v="0.11899999999999999"/>
    <n v="25"/>
    <n v="629"/>
    <n v="15"/>
    <n v="14958"/>
    <x v="1"/>
  </r>
  <r>
    <n v="254"/>
    <s v="CLIENT_254"/>
    <n v="30"/>
    <n v="90695"/>
    <x v="253"/>
    <n v="9.5000000000000001E-2"/>
    <n v="10"/>
    <n v="809"/>
    <n v="5"/>
    <n v="13605"/>
    <x v="0"/>
  </r>
  <r>
    <n v="255"/>
    <s v="CLIENT_255"/>
    <n v="34"/>
    <n v="48729"/>
    <x v="254"/>
    <n v="0.10100000000000001"/>
    <n v="10"/>
    <n v="817"/>
    <n v="9"/>
    <n v="6260"/>
    <x v="0"/>
  </r>
  <r>
    <n v="256"/>
    <s v="CLIENT_256"/>
    <n v="57"/>
    <n v="41610"/>
    <x v="255"/>
    <n v="0.11899999999999999"/>
    <n v="10"/>
    <n v="704"/>
    <n v="12"/>
    <n v="31073"/>
    <x v="2"/>
  </r>
  <r>
    <n v="257"/>
    <s v="CLIENT_257"/>
    <n v="23"/>
    <n v="60789"/>
    <x v="256"/>
    <n v="0.09"/>
    <n v="25"/>
    <n v="610"/>
    <n v="7"/>
    <n v="2116"/>
    <x v="1"/>
  </r>
  <r>
    <n v="258"/>
    <s v="CLIENT_258"/>
    <n v="49"/>
    <n v="87210"/>
    <x v="257"/>
    <n v="9.0999999999999998E-2"/>
    <n v="30"/>
    <n v="660"/>
    <n v="12"/>
    <n v="32991"/>
    <x v="2"/>
  </r>
  <r>
    <n v="259"/>
    <s v="CLIENT_259"/>
    <n v="31"/>
    <n v="24702"/>
    <x v="258"/>
    <n v="0.11600000000000001"/>
    <n v="15"/>
    <n v="633"/>
    <n v="0"/>
    <n v="15130"/>
    <x v="1"/>
  </r>
  <r>
    <n v="260"/>
    <s v="CLIENT_260"/>
    <n v="54"/>
    <n v="108121"/>
    <x v="259"/>
    <n v="9.6000000000000002E-2"/>
    <n v="10"/>
    <n v="792"/>
    <n v="10"/>
    <n v="35892"/>
    <x v="2"/>
  </r>
  <r>
    <n v="261"/>
    <s v="CLIENT_261"/>
    <n v="64"/>
    <n v="119076"/>
    <x v="260"/>
    <n v="8.5000000000000006E-2"/>
    <n v="25"/>
    <n v="827"/>
    <n v="14"/>
    <n v="35556"/>
    <x v="2"/>
  </r>
  <r>
    <n v="262"/>
    <s v="CLIENT_262"/>
    <n v="27"/>
    <n v="110957"/>
    <x v="261"/>
    <n v="8.7999999999999995E-2"/>
    <n v="10"/>
    <n v="629"/>
    <n v="15"/>
    <n v="11983"/>
    <x v="1"/>
  </r>
  <r>
    <n v="263"/>
    <s v="CLIENT_263"/>
    <n v="22"/>
    <n v="118926"/>
    <x v="262"/>
    <n v="0.10199999999999999"/>
    <n v="15"/>
    <n v="617"/>
    <n v="14"/>
    <n v="30964"/>
    <x v="1"/>
  </r>
  <r>
    <n v="264"/>
    <s v="CLIENT_264"/>
    <n v="62"/>
    <n v="72338"/>
    <x v="263"/>
    <n v="8.4000000000000005E-2"/>
    <n v="20"/>
    <n v="686"/>
    <n v="11"/>
    <n v="27582"/>
    <x v="2"/>
  </r>
  <r>
    <n v="265"/>
    <s v="CLIENT_265"/>
    <n v="60"/>
    <n v="73364"/>
    <x v="264"/>
    <n v="8.3000000000000004E-2"/>
    <n v="15"/>
    <n v="819"/>
    <n v="2"/>
    <n v="17960"/>
    <x v="2"/>
  </r>
  <r>
    <n v="266"/>
    <s v="CLIENT_266"/>
    <n v="49"/>
    <n v="25297"/>
    <x v="265"/>
    <n v="9.8000000000000004E-2"/>
    <n v="30"/>
    <n v="673"/>
    <n v="5"/>
    <n v="20785"/>
    <x v="2"/>
  </r>
  <r>
    <n v="267"/>
    <s v="CLIENT_267"/>
    <n v="59"/>
    <n v="41447"/>
    <x v="266"/>
    <n v="0.108"/>
    <n v="10"/>
    <n v="751"/>
    <n v="15"/>
    <n v="43839"/>
    <x v="2"/>
  </r>
  <r>
    <n v="268"/>
    <s v="CLIENT_268"/>
    <n v="32"/>
    <n v="81959"/>
    <x v="267"/>
    <n v="0.10299999999999999"/>
    <n v="10"/>
    <n v="680"/>
    <n v="1"/>
    <n v="12069"/>
    <x v="0"/>
  </r>
  <r>
    <n v="269"/>
    <s v="CLIENT_269"/>
    <n v="51"/>
    <n v="114809"/>
    <x v="268"/>
    <n v="9.0999999999999998E-2"/>
    <n v="10"/>
    <n v="699"/>
    <n v="4"/>
    <n v="49399"/>
    <x v="2"/>
  </r>
  <r>
    <n v="270"/>
    <s v="CLIENT_270"/>
    <n v="39"/>
    <n v="40283"/>
    <x v="269"/>
    <n v="8.5999999999999993E-2"/>
    <n v="20"/>
    <n v="710"/>
    <n v="4"/>
    <n v="4889"/>
    <x v="0"/>
  </r>
  <r>
    <n v="271"/>
    <s v="CLIENT_271"/>
    <n v="22"/>
    <n v="75232"/>
    <x v="270"/>
    <n v="9.4E-2"/>
    <n v="10"/>
    <n v="614"/>
    <n v="10"/>
    <n v="23300"/>
    <x v="1"/>
  </r>
  <r>
    <n v="272"/>
    <s v="CLIENT_272"/>
    <n v="45"/>
    <n v="55728"/>
    <x v="271"/>
    <n v="0.1"/>
    <n v="10"/>
    <n v="710"/>
    <n v="5"/>
    <n v="49042"/>
    <x v="2"/>
  </r>
  <r>
    <n v="273"/>
    <s v="CLIENT_273"/>
    <n v="28"/>
    <n v="89319"/>
    <x v="272"/>
    <n v="0.10299999999999999"/>
    <n v="20"/>
    <n v="698"/>
    <n v="4"/>
    <n v="48196"/>
    <x v="2"/>
  </r>
  <r>
    <n v="274"/>
    <s v="CLIENT_274"/>
    <n v="20"/>
    <n v="110355"/>
    <x v="273"/>
    <n v="8.2000000000000003E-2"/>
    <n v="15"/>
    <n v="790"/>
    <n v="2"/>
    <n v="18524"/>
    <x v="1"/>
  </r>
  <r>
    <n v="275"/>
    <s v="CLIENT_275"/>
    <n v="35"/>
    <n v="93381"/>
    <x v="274"/>
    <n v="0.115"/>
    <n v="20"/>
    <n v="660"/>
    <n v="13"/>
    <n v="17294"/>
    <x v="2"/>
  </r>
  <r>
    <n v="276"/>
    <s v="CLIENT_276"/>
    <n v="58"/>
    <n v="22303"/>
    <x v="275"/>
    <n v="8.8999999999999996E-2"/>
    <n v="25"/>
    <n v="690"/>
    <n v="8"/>
    <n v="22607"/>
    <x v="2"/>
  </r>
  <r>
    <n v="277"/>
    <s v="CLIENT_277"/>
    <n v="54"/>
    <n v="76448"/>
    <x v="276"/>
    <n v="9.6000000000000002E-2"/>
    <n v="25"/>
    <n v="640"/>
    <n v="5"/>
    <n v="3765"/>
    <x v="1"/>
  </r>
  <r>
    <n v="278"/>
    <s v="CLIENT_278"/>
    <n v="43"/>
    <n v="24498"/>
    <x v="277"/>
    <n v="0.107"/>
    <n v="15"/>
    <n v="641"/>
    <n v="2"/>
    <n v="27645"/>
    <x v="1"/>
  </r>
  <r>
    <n v="279"/>
    <s v="CLIENT_279"/>
    <n v="55"/>
    <n v="72950"/>
    <x v="278"/>
    <n v="0.1"/>
    <n v="30"/>
    <n v="822"/>
    <n v="8"/>
    <n v="20936"/>
    <x v="2"/>
  </r>
  <r>
    <n v="280"/>
    <s v="CLIENT_280"/>
    <n v="62"/>
    <n v="31448"/>
    <x v="279"/>
    <n v="9.0999999999999998E-2"/>
    <n v="15"/>
    <n v="605"/>
    <n v="4"/>
    <n v="8338"/>
    <x v="1"/>
  </r>
  <r>
    <n v="281"/>
    <s v="CLIENT_281"/>
    <n v="45"/>
    <n v="54102"/>
    <x v="280"/>
    <n v="0.11899999999999999"/>
    <n v="10"/>
    <n v="647"/>
    <n v="12"/>
    <n v="13506"/>
    <x v="1"/>
  </r>
  <r>
    <n v="282"/>
    <s v="CLIENT_282"/>
    <n v="25"/>
    <n v="65952"/>
    <x v="281"/>
    <n v="0.114"/>
    <n v="20"/>
    <n v="849"/>
    <n v="0"/>
    <n v="23653"/>
    <x v="2"/>
  </r>
  <r>
    <n v="283"/>
    <s v="CLIENT_283"/>
    <n v="53"/>
    <n v="26242"/>
    <x v="282"/>
    <n v="9.8000000000000004E-2"/>
    <n v="25"/>
    <n v="620"/>
    <n v="8"/>
    <n v="37306"/>
    <x v="1"/>
  </r>
  <r>
    <n v="284"/>
    <s v="CLIENT_284"/>
    <n v="47"/>
    <n v="56543"/>
    <x v="283"/>
    <n v="0.1"/>
    <n v="20"/>
    <n v="680"/>
    <n v="12"/>
    <n v="19620"/>
    <x v="2"/>
  </r>
  <r>
    <n v="285"/>
    <s v="CLIENT_285"/>
    <n v="22"/>
    <n v="113105"/>
    <x v="284"/>
    <n v="0.08"/>
    <n v="15"/>
    <n v="724"/>
    <n v="6"/>
    <n v="21044"/>
    <x v="1"/>
  </r>
  <r>
    <n v="286"/>
    <s v="CLIENT_286"/>
    <n v="56"/>
    <n v="17561"/>
    <x v="285"/>
    <n v="8.6999999999999994E-2"/>
    <n v="25"/>
    <n v="849"/>
    <n v="2"/>
    <n v="13776"/>
    <x v="0"/>
  </r>
  <r>
    <n v="287"/>
    <s v="CLIENT_287"/>
    <n v="58"/>
    <n v="68028"/>
    <x v="286"/>
    <n v="0.104"/>
    <n v="25"/>
    <n v="712"/>
    <n v="13"/>
    <n v="34132"/>
    <x v="2"/>
  </r>
  <r>
    <n v="288"/>
    <s v="CLIENT_288"/>
    <n v="25"/>
    <n v="21515"/>
    <x v="287"/>
    <n v="0.1"/>
    <n v="30"/>
    <n v="818"/>
    <n v="5"/>
    <n v="32774"/>
    <x v="2"/>
  </r>
  <r>
    <n v="289"/>
    <s v="CLIENT_289"/>
    <n v="65"/>
    <n v="95054"/>
    <x v="288"/>
    <n v="0.113"/>
    <n v="25"/>
    <n v="700"/>
    <n v="7"/>
    <n v="43581"/>
    <x v="2"/>
  </r>
  <r>
    <n v="290"/>
    <s v="CLIENT_290"/>
    <n v="46"/>
    <n v="86754"/>
    <x v="289"/>
    <n v="0.112"/>
    <n v="30"/>
    <n v="720"/>
    <n v="6"/>
    <n v="9989"/>
    <x v="0"/>
  </r>
  <r>
    <n v="291"/>
    <s v="CLIENT_291"/>
    <n v="38"/>
    <n v="18836"/>
    <x v="290"/>
    <n v="0.108"/>
    <n v="15"/>
    <n v="638"/>
    <n v="7"/>
    <n v="23696"/>
    <x v="1"/>
  </r>
  <r>
    <n v="292"/>
    <s v="CLIENT_292"/>
    <n v="63"/>
    <n v="94920"/>
    <x v="291"/>
    <n v="0.11700000000000001"/>
    <n v="15"/>
    <n v="656"/>
    <n v="2"/>
    <n v="10873"/>
    <x v="2"/>
  </r>
  <r>
    <n v="293"/>
    <s v="CLIENT_293"/>
    <n v="51"/>
    <n v="114213"/>
    <x v="292"/>
    <n v="8.4000000000000005E-2"/>
    <n v="30"/>
    <n v="639"/>
    <n v="2"/>
    <n v="33311"/>
    <x v="1"/>
  </r>
  <r>
    <n v="294"/>
    <s v="CLIENT_294"/>
    <n v="26"/>
    <n v="119682"/>
    <x v="293"/>
    <n v="9.4E-2"/>
    <n v="20"/>
    <n v="741"/>
    <n v="1"/>
    <n v="1985"/>
    <x v="2"/>
  </r>
  <r>
    <n v="295"/>
    <s v="CLIENT_295"/>
    <n v="58"/>
    <n v="114992"/>
    <x v="294"/>
    <n v="0.09"/>
    <n v="25"/>
    <n v="745"/>
    <n v="7"/>
    <n v="38628"/>
    <x v="2"/>
  </r>
  <r>
    <n v="296"/>
    <s v="CLIENT_296"/>
    <n v="64"/>
    <n v="17200"/>
    <x v="295"/>
    <n v="9.0999999999999998E-2"/>
    <n v="30"/>
    <n v="719"/>
    <n v="4"/>
    <n v="24510"/>
    <x v="2"/>
  </r>
  <r>
    <n v="297"/>
    <s v="CLIENT_297"/>
    <n v="28"/>
    <n v="32367"/>
    <x v="296"/>
    <n v="8.7999999999999995E-2"/>
    <n v="10"/>
    <n v="812"/>
    <n v="0"/>
    <n v="10763"/>
    <x v="2"/>
  </r>
  <r>
    <n v="298"/>
    <s v="CLIENT_298"/>
    <n v="29"/>
    <n v="62936"/>
    <x v="297"/>
    <n v="8.3000000000000004E-2"/>
    <n v="10"/>
    <n v="832"/>
    <n v="11"/>
    <n v="22479"/>
    <x v="2"/>
  </r>
  <r>
    <n v="299"/>
    <s v="CLIENT_299"/>
    <n v="49"/>
    <n v="39695"/>
    <x v="298"/>
    <n v="0.105"/>
    <n v="25"/>
    <n v="827"/>
    <n v="7"/>
    <n v="22285"/>
    <x v="2"/>
  </r>
  <r>
    <n v="300"/>
    <s v="CLIENT_300"/>
    <n v="60"/>
    <n v="28552"/>
    <x v="299"/>
    <n v="9.2999999999999999E-2"/>
    <n v="20"/>
    <n v="626"/>
    <n v="3"/>
    <n v="13914"/>
    <x v="1"/>
  </r>
  <r>
    <n v="301"/>
    <s v="CLIENT_301"/>
    <n v="43"/>
    <n v="70860"/>
    <x v="300"/>
    <n v="0.10299999999999999"/>
    <n v="15"/>
    <n v="605"/>
    <n v="6"/>
    <n v="33092"/>
    <x v="1"/>
  </r>
  <r>
    <n v="302"/>
    <s v="CLIENT_302"/>
    <n v="36"/>
    <n v="68705"/>
    <x v="301"/>
    <n v="0.11899999999999999"/>
    <n v="25"/>
    <n v="695"/>
    <n v="2"/>
    <n v="29801"/>
    <x v="2"/>
  </r>
  <r>
    <n v="303"/>
    <s v="CLIENT_303"/>
    <n v="26"/>
    <n v="31906"/>
    <x v="302"/>
    <n v="9.6000000000000002E-2"/>
    <n v="15"/>
    <n v="745"/>
    <n v="1"/>
    <n v="45612"/>
    <x v="2"/>
  </r>
  <r>
    <n v="304"/>
    <s v="CLIENT_304"/>
    <n v="44"/>
    <n v="112403"/>
    <x v="303"/>
    <n v="0.108"/>
    <n v="25"/>
    <n v="835"/>
    <n v="3"/>
    <n v="32171"/>
    <x v="2"/>
  </r>
  <r>
    <n v="305"/>
    <s v="CLIENT_305"/>
    <n v="33"/>
    <n v="100974"/>
    <x v="304"/>
    <n v="0.108"/>
    <n v="10"/>
    <n v="631"/>
    <n v="10"/>
    <n v="39578"/>
    <x v="1"/>
  </r>
  <r>
    <n v="306"/>
    <s v="CLIENT_306"/>
    <n v="43"/>
    <n v="68821"/>
    <x v="305"/>
    <n v="0.10100000000000001"/>
    <n v="20"/>
    <n v="607"/>
    <n v="9"/>
    <n v="42848"/>
    <x v="1"/>
  </r>
  <r>
    <n v="307"/>
    <s v="CLIENT_307"/>
    <n v="22"/>
    <n v="75209"/>
    <x v="306"/>
    <n v="0.104"/>
    <n v="10"/>
    <n v="716"/>
    <n v="1"/>
    <n v="23767"/>
    <x v="1"/>
  </r>
  <r>
    <n v="308"/>
    <s v="CLIENT_308"/>
    <n v="54"/>
    <n v="27163"/>
    <x v="307"/>
    <n v="0.1"/>
    <n v="30"/>
    <n v="810"/>
    <n v="3"/>
    <n v="48926"/>
    <x v="2"/>
  </r>
  <r>
    <n v="309"/>
    <s v="CLIENT_309"/>
    <n v="59"/>
    <n v="35638"/>
    <x v="308"/>
    <n v="9.7000000000000003E-2"/>
    <n v="25"/>
    <n v="827"/>
    <n v="6"/>
    <n v="29066"/>
    <x v="2"/>
  </r>
  <r>
    <n v="310"/>
    <s v="CLIENT_310"/>
    <n v="20"/>
    <n v="75264"/>
    <x v="309"/>
    <n v="8.1000000000000003E-2"/>
    <n v="30"/>
    <n v="742"/>
    <n v="8"/>
    <n v="13117"/>
    <x v="1"/>
  </r>
  <r>
    <n v="311"/>
    <s v="CLIENT_311"/>
    <n v="41"/>
    <n v="112631"/>
    <x v="310"/>
    <n v="0.114"/>
    <n v="30"/>
    <n v="782"/>
    <n v="15"/>
    <n v="47049"/>
    <x v="2"/>
  </r>
  <r>
    <n v="312"/>
    <s v="CLIENT_312"/>
    <n v="49"/>
    <n v="54378"/>
    <x v="311"/>
    <n v="9.0999999999999998E-2"/>
    <n v="30"/>
    <n v="782"/>
    <n v="14"/>
    <n v="19512"/>
    <x v="2"/>
  </r>
  <r>
    <n v="313"/>
    <s v="CLIENT_313"/>
    <n v="46"/>
    <n v="65677"/>
    <x v="312"/>
    <n v="8.4000000000000005E-2"/>
    <n v="10"/>
    <n v="661"/>
    <n v="11"/>
    <n v="12515"/>
    <x v="2"/>
  </r>
  <r>
    <n v="314"/>
    <s v="CLIENT_314"/>
    <n v="35"/>
    <n v="50346"/>
    <x v="313"/>
    <n v="0.115"/>
    <n v="15"/>
    <n v="694"/>
    <n v="15"/>
    <n v="33635"/>
    <x v="2"/>
  </r>
  <r>
    <n v="315"/>
    <s v="CLIENT_315"/>
    <n v="46"/>
    <n v="59285"/>
    <x v="314"/>
    <n v="0.11"/>
    <n v="10"/>
    <n v="746"/>
    <n v="1"/>
    <n v="17088"/>
    <x v="2"/>
  </r>
  <r>
    <n v="316"/>
    <s v="CLIENT_316"/>
    <n v="60"/>
    <n v="67811"/>
    <x v="315"/>
    <n v="0.08"/>
    <n v="30"/>
    <n v="822"/>
    <n v="1"/>
    <n v="6657"/>
    <x v="2"/>
  </r>
  <r>
    <n v="317"/>
    <s v="CLIENT_317"/>
    <n v="21"/>
    <n v="15110"/>
    <x v="316"/>
    <n v="8.4000000000000005E-2"/>
    <n v="30"/>
    <n v="775"/>
    <n v="12"/>
    <n v="11122"/>
    <x v="1"/>
  </r>
  <r>
    <n v="318"/>
    <s v="CLIENT_318"/>
    <n v="57"/>
    <n v="118152"/>
    <x v="317"/>
    <n v="0.106"/>
    <n v="15"/>
    <n v="727"/>
    <n v="8"/>
    <n v="10043"/>
    <x v="0"/>
  </r>
  <r>
    <n v="319"/>
    <s v="CLIENT_319"/>
    <n v="25"/>
    <n v="118391"/>
    <x v="318"/>
    <n v="8.8999999999999996E-2"/>
    <n v="10"/>
    <n v="823"/>
    <n v="9"/>
    <n v="33004"/>
    <x v="2"/>
  </r>
  <r>
    <n v="320"/>
    <s v="CLIENT_320"/>
    <n v="31"/>
    <n v="54263"/>
    <x v="319"/>
    <n v="9.8000000000000004E-2"/>
    <n v="15"/>
    <n v="742"/>
    <n v="14"/>
    <n v="41565"/>
    <x v="2"/>
  </r>
  <r>
    <n v="321"/>
    <s v="CLIENT_321"/>
    <n v="20"/>
    <n v="82114"/>
    <x v="320"/>
    <n v="9.1999999999999998E-2"/>
    <n v="10"/>
    <n v="814"/>
    <n v="12"/>
    <n v="12519"/>
    <x v="1"/>
  </r>
  <r>
    <n v="322"/>
    <s v="CLIENT_322"/>
    <n v="24"/>
    <n v="66176"/>
    <x v="321"/>
    <n v="0.11899999999999999"/>
    <n v="20"/>
    <n v="765"/>
    <n v="2"/>
    <n v="48795"/>
    <x v="1"/>
  </r>
  <r>
    <n v="323"/>
    <s v="CLIENT_323"/>
    <n v="41"/>
    <n v="89640"/>
    <x v="322"/>
    <n v="0.106"/>
    <n v="20"/>
    <n v="839"/>
    <n v="5"/>
    <n v="32327"/>
    <x v="2"/>
  </r>
  <r>
    <n v="324"/>
    <s v="CLIENT_324"/>
    <n v="45"/>
    <n v="110889"/>
    <x v="323"/>
    <n v="0.11600000000000001"/>
    <n v="10"/>
    <n v="765"/>
    <n v="14"/>
    <n v="47616"/>
    <x v="2"/>
  </r>
  <r>
    <n v="325"/>
    <s v="CLIENT_325"/>
    <n v="60"/>
    <n v="66025"/>
    <x v="324"/>
    <n v="0.106"/>
    <n v="25"/>
    <n v="637"/>
    <n v="6"/>
    <n v="21291"/>
    <x v="1"/>
  </r>
  <r>
    <n v="326"/>
    <s v="CLIENT_326"/>
    <n v="65"/>
    <n v="82266"/>
    <x v="325"/>
    <n v="8.7999999999999995E-2"/>
    <n v="15"/>
    <n v="610"/>
    <n v="15"/>
    <n v="21389"/>
    <x v="1"/>
  </r>
  <r>
    <n v="327"/>
    <s v="CLIENT_327"/>
    <n v="44"/>
    <n v="41580"/>
    <x v="326"/>
    <n v="0.11600000000000001"/>
    <n v="10"/>
    <n v="792"/>
    <n v="11"/>
    <n v="40731"/>
    <x v="2"/>
  </r>
  <r>
    <n v="328"/>
    <s v="CLIENT_328"/>
    <n v="59"/>
    <n v="69622"/>
    <x v="327"/>
    <n v="0.1"/>
    <n v="20"/>
    <n v="753"/>
    <n v="7"/>
    <n v="396"/>
    <x v="0"/>
  </r>
  <r>
    <n v="329"/>
    <s v="CLIENT_329"/>
    <n v="46"/>
    <n v="48302"/>
    <x v="328"/>
    <n v="0.09"/>
    <n v="20"/>
    <n v="683"/>
    <n v="0"/>
    <n v="764"/>
    <x v="0"/>
  </r>
  <r>
    <n v="330"/>
    <s v="CLIENT_330"/>
    <n v="60"/>
    <n v="78722"/>
    <x v="329"/>
    <n v="0.09"/>
    <n v="10"/>
    <n v="732"/>
    <n v="6"/>
    <n v="34412"/>
    <x v="2"/>
  </r>
  <r>
    <n v="331"/>
    <s v="CLIENT_331"/>
    <n v="56"/>
    <n v="88195"/>
    <x v="330"/>
    <n v="0.11"/>
    <n v="30"/>
    <n v="844"/>
    <n v="4"/>
    <n v="34188"/>
    <x v="2"/>
  </r>
  <r>
    <n v="332"/>
    <s v="CLIENT_332"/>
    <n v="39"/>
    <n v="45425"/>
    <x v="331"/>
    <n v="9.5000000000000001E-2"/>
    <n v="15"/>
    <n v="739"/>
    <n v="6"/>
    <n v="26059"/>
    <x v="2"/>
  </r>
  <r>
    <n v="333"/>
    <s v="CLIENT_333"/>
    <n v="56"/>
    <n v="28747"/>
    <x v="332"/>
    <n v="9.2999999999999999E-2"/>
    <n v="25"/>
    <n v="633"/>
    <n v="10"/>
    <n v="14268"/>
    <x v="1"/>
  </r>
  <r>
    <n v="334"/>
    <s v="CLIENT_334"/>
    <n v="28"/>
    <n v="27838"/>
    <x v="333"/>
    <n v="8.6999999999999994E-2"/>
    <n v="30"/>
    <n v="734"/>
    <n v="1"/>
    <n v="27099"/>
    <x v="2"/>
  </r>
  <r>
    <n v="335"/>
    <s v="CLIENT_335"/>
    <n v="42"/>
    <n v="48088"/>
    <x v="334"/>
    <n v="0.10100000000000001"/>
    <n v="30"/>
    <n v="711"/>
    <n v="3"/>
    <n v="2346"/>
    <x v="0"/>
  </r>
  <r>
    <n v="336"/>
    <s v="CLIENT_336"/>
    <n v="25"/>
    <n v="31439"/>
    <x v="335"/>
    <n v="8.3000000000000004E-2"/>
    <n v="15"/>
    <n v="834"/>
    <n v="8"/>
    <n v="15464"/>
    <x v="2"/>
  </r>
  <r>
    <n v="337"/>
    <s v="CLIENT_337"/>
    <n v="65"/>
    <n v="90205"/>
    <x v="336"/>
    <n v="8.2000000000000003E-2"/>
    <n v="15"/>
    <n v="781"/>
    <n v="15"/>
    <n v="1626"/>
    <x v="0"/>
  </r>
  <r>
    <n v="338"/>
    <s v="CLIENT_338"/>
    <n v="29"/>
    <n v="27659"/>
    <x v="337"/>
    <n v="0.12"/>
    <n v="30"/>
    <n v="779"/>
    <n v="4"/>
    <n v="38219"/>
    <x v="2"/>
  </r>
  <r>
    <n v="339"/>
    <s v="CLIENT_339"/>
    <n v="59"/>
    <n v="86242"/>
    <x v="338"/>
    <n v="8.3000000000000004E-2"/>
    <n v="25"/>
    <n v="697"/>
    <n v="8"/>
    <n v="15840"/>
    <x v="2"/>
  </r>
  <r>
    <n v="340"/>
    <s v="CLIENT_340"/>
    <n v="52"/>
    <n v="101809"/>
    <x v="339"/>
    <n v="0.104"/>
    <n v="15"/>
    <n v="649"/>
    <n v="12"/>
    <n v="16094"/>
    <x v="1"/>
  </r>
  <r>
    <n v="341"/>
    <s v="CLIENT_341"/>
    <n v="55"/>
    <n v="80144"/>
    <x v="340"/>
    <n v="0.1"/>
    <n v="10"/>
    <n v="651"/>
    <n v="12"/>
    <n v="39710"/>
    <x v="2"/>
  </r>
  <r>
    <n v="342"/>
    <s v="CLIENT_342"/>
    <n v="22"/>
    <n v="43981"/>
    <x v="341"/>
    <n v="9.0999999999999998E-2"/>
    <n v="20"/>
    <n v="670"/>
    <n v="5"/>
    <n v="40274"/>
    <x v="1"/>
  </r>
  <r>
    <n v="343"/>
    <s v="CLIENT_343"/>
    <n v="40"/>
    <n v="49277"/>
    <x v="342"/>
    <n v="0.104"/>
    <n v="10"/>
    <n v="817"/>
    <n v="5"/>
    <n v="20692"/>
    <x v="2"/>
  </r>
  <r>
    <n v="344"/>
    <s v="CLIENT_344"/>
    <n v="61"/>
    <n v="86369"/>
    <x v="343"/>
    <n v="9.8000000000000004E-2"/>
    <n v="30"/>
    <n v="790"/>
    <n v="14"/>
    <n v="27761"/>
    <x v="2"/>
  </r>
  <r>
    <n v="345"/>
    <s v="CLIENT_345"/>
    <n v="59"/>
    <n v="61618"/>
    <x v="344"/>
    <n v="0.104"/>
    <n v="10"/>
    <n v="648"/>
    <n v="11"/>
    <n v="37973"/>
    <x v="1"/>
  </r>
  <r>
    <n v="346"/>
    <s v="CLIENT_346"/>
    <n v="39"/>
    <n v="17219"/>
    <x v="345"/>
    <n v="8.2000000000000003E-2"/>
    <n v="15"/>
    <n v="604"/>
    <n v="15"/>
    <n v="32781"/>
    <x v="1"/>
  </r>
  <r>
    <n v="347"/>
    <s v="CLIENT_347"/>
    <n v="28"/>
    <n v="22772"/>
    <x v="346"/>
    <n v="0.115"/>
    <n v="10"/>
    <n v="788"/>
    <n v="3"/>
    <n v="4009"/>
    <x v="0"/>
  </r>
  <r>
    <n v="348"/>
    <s v="CLIENT_348"/>
    <n v="24"/>
    <n v="118254"/>
    <x v="347"/>
    <n v="0.11700000000000001"/>
    <n v="10"/>
    <n v="739"/>
    <n v="15"/>
    <n v="20680"/>
    <x v="1"/>
  </r>
  <r>
    <n v="349"/>
    <s v="CLIENT_349"/>
    <n v="44"/>
    <n v="15150"/>
    <x v="348"/>
    <n v="8.2000000000000003E-2"/>
    <n v="20"/>
    <n v="620"/>
    <n v="4"/>
    <n v="49565"/>
    <x v="1"/>
  </r>
  <r>
    <n v="350"/>
    <s v="CLIENT_350"/>
    <n v="55"/>
    <n v="73445"/>
    <x v="349"/>
    <n v="0.107"/>
    <n v="10"/>
    <n v="639"/>
    <n v="12"/>
    <n v="30278"/>
    <x v="1"/>
  </r>
  <r>
    <n v="351"/>
    <s v="CLIENT_351"/>
    <n v="37"/>
    <n v="85676"/>
    <x v="350"/>
    <n v="0.105"/>
    <n v="30"/>
    <n v="828"/>
    <n v="15"/>
    <n v="26056"/>
    <x v="2"/>
  </r>
  <r>
    <n v="352"/>
    <s v="CLIENT_352"/>
    <n v="57"/>
    <n v="25406"/>
    <x v="351"/>
    <n v="0.11799999999999999"/>
    <n v="10"/>
    <n v="776"/>
    <n v="4"/>
    <n v="41012"/>
    <x v="2"/>
  </r>
  <r>
    <n v="353"/>
    <s v="CLIENT_353"/>
    <n v="26"/>
    <n v="118585"/>
    <x v="352"/>
    <n v="9.4E-2"/>
    <n v="20"/>
    <n v="644"/>
    <n v="7"/>
    <n v="40204"/>
    <x v="1"/>
  </r>
  <r>
    <n v="354"/>
    <s v="CLIENT_354"/>
    <n v="50"/>
    <n v="58716"/>
    <x v="353"/>
    <n v="0.114"/>
    <n v="30"/>
    <n v="780"/>
    <n v="7"/>
    <n v="32788"/>
    <x v="2"/>
  </r>
  <r>
    <n v="355"/>
    <s v="CLIENT_355"/>
    <n v="44"/>
    <n v="72651"/>
    <x v="354"/>
    <n v="9.9000000000000005E-2"/>
    <n v="25"/>
    <n v="655"/>
    <n v="13"/>
    <n v="37436"/>
    <x v="2"/>
  </r>
  <r>
    <n v="356"/>
    <s v="CLIENT_356"/>
    <n v="44"/>
    <n v="19208"/>
    <x v="355"/>
    <n v="9.7000000000000003E-2"/>
    <n v="20"/>
    <n v="805"/>
    <n v="8"/>
    <n v="47531"/>
    <x v="2"/>
  </r>
  <r>
    <n v="357"/>
    <s v="CLIENT_357"/>
    <n v="46"/>
    <n v="95359"/>
    <x v="356"/>
    <n v="9.1999999999999998E-2"/>
    <n v="25"/>
    <n v="652"/>
    <n v="6"/>
    <n v="47725"/>
    <x v="2"/>
  </r>
  <r>
    <n v="358"/>
    <s v="CLIENT_358"/>
    <n v="37"/>
    <n v="59611"/>
    <x v="357"/>
    <n v="8.4000000000000005E-2"/>
    <n v="15"/>
    <n v="619"/>
    <n v="2"/>
    <n v="44265"/>
    <x v="1"/>
  </r>
  <r>
    <n v="359"/>
    <s v="CLIENT_359"/>
    <n v="49"/>
    <n v="99813"/>
    <x v="358"/>
    <n v="0.113"/>
    <n v="30"/>
    <n v="849"/>
    <n v="13"/>
    <n v="15646"/>
    <x v="2"/>
  </r>
  <r>
    <n v="360"/>
    <s v="CLIENT_360"/>
    <n v="23"/>
    <n v="39567"/>
    <x v="359"/>
    <n v="0.114"/>
    <n v="25"/>
    <n v="773"/>
    <n v="8"/>
    <n v="29479"/>
    <x v="1"/>
  </r>
  <r>
    <n v="361"/>
    <s v="CLIENT_361"/>
    <n v="53"/>
    <n v="50557"/>
    <x v="360"/>
    <n v="0.09"/>
    <n v="15"/>
    <n v="710"/>
    <n v="7"/>
    <n v="30586"/>
    <x v="2"/>
  </r>
  <r>
    <n v="362"/>
    <s v="CLIENT_362"/>
    <n v="40"/>
    <n v="33092"/>
    <x v="361"/>
    <n v="0.11600000000000001"/>
    <n v="20"/>
    <n v="626"/>
    <n v="5"/>
    <n v="28644"/>
    <x v="1"/>
  </r>
  <r>
    <n v="363"/>
    <s v="CLIENT_363"/>
    <n v="48"/>
    <n v="74835"/>
    <x v="362"/>
    <n v="9.6000000000000002E-2"/>
    <n v="15"/>
    <n v="753"/>
    <n v="10"/>
    <n v="21618"/>
    <x v="2"/>
  </r>
  <r>
    <n v="364"/>
    <s v="CLIENT_364"/>
    <n v="42"/>
    <n v="101794"/>
    <x v="363"/>
    <n v="0.1"/>
    <n v="10"/>
    <n v="815"/>
    <n v="13"/>
    <n v="30656"/>
    <x v="2"/>
  </r>
  <r>
    <n v="365"/>
    <s v="CLIENT_365"/>
    <n v="58"/>
    <n v="73858"/>
    <x v="364"/>
    <n v="0.107"/>
    <n v="15"/>
    <n v="634"/>
    <n v="12"/>
    <n v="31941"/>
    <x v="1"/>
  </r>
  <r>
    <n v="366"/>
    <s v="CLIENT_366"/>
    <n v="39"/>
    <n v="118984"/>
    <x v="365"/>
    <n v="0.106"/>
    <n v="20"/>
    <n v="700"/>
    <n v="12"/>
    <n v="38704"/>
    <x v="2"/>
  </r>
  <r>
    <n v="367"/>
    <s v="CLIENT_367"/>
    <n v="57"/>
    <n v="78963"/>
    <x v="366"/>
    <n v="0.1"/>
    <n v="30"/>
    <n v="832"/>
    <n v="8"/>
    <n v="43684"/>
    <x v="2"/>
  </r>
  <r>
    <n v="368"/>
    <s v="CLIENT_368"/>
    <n v="61"/>
    <n v="73937"/>
    <x v="367"/>
    <n v="9.2999999999999999E-2"/>
    <n v="15"/>
    <n v="612"/>
    <n v="4"/>
    <n v="13989"/>
    <x v="1"/>
  </r>
  <r>
    <n v="369"/>
    <s v="CLIENT_369"/>
    <n v="35"/>
    <n v="104807"/>
    <x v="368"/>
    <n v="9.1999999999999998E-2"/>
    <n v="25"/>
    <n v="796"/>
    <n v="13"/>
    <n v="19406"/>
    <x v="2"/>
  </r>
  <r>
    <n v="370"/>
    <s v="CLIENT_370"/>
    <n v="22"/>
    <n v="36853"/>
    <x v="369"/>
    <n v="9.0999999999999998E-2"/>
    <n v="15"/>
    <n v="603"/>
    <n v="6"/>
    <n v="11021"/>
    <x v="1"/>
  </r>
  <r>
    <n v="371"/>
    <s v="CLIENT_371"/>
    <n v="36"/>
    <n v="34280"/>
    <x v="370"/>
    <n v="9.7000000000000003E-2"/>
    <n v="15"/>
    <n v="787"/>
    <n v="2"/>
    <n v="42949"/>
    <x v="2"/>
  </r>
  <r>
    <n v="372"/>
    <s v="CLIENT_372"/>
    <n v="46"/>
    <n v="61205"/>
    <x v="371"/>
    <n v="9.1999999999999998E-2"/>
    <n v="20"/>
    <n v="785"/>
    <n v="9"/>
    <n v="24443"/>
    <x v="2"/>
  </r>
  <r>
    <n v="373"/>
    <s v="CLIENT_373"/>
    <n v="29"/>
    <n v="72057"/>
    <x v="372"/>
    <n v="8.5999999999999993E-2"/>
    <n v="25"/>
    <n v="781"/>
    <n v="2"/>
    <n v="29737"/>
    <x v="2"/>
  </r>
  <r>
    <n v="374"/>
    <s v="CLIENT_374"/>
    <n v="63"/>
    <n v="96290"/>
    <x v="373"/>
    <n v="8.1000000000000003E-2"/>
    <n v="15"/>
    <n v="828"/>
    <n v="15"/>
    <n v="1059"/>
    <x v="0"/>
  </r>
  <r>
    <n v="375"/>
    <s v="CLIENT_375"/>
    <n v="24"/>
    <n v="43101"/>
    <x v="374"/>
    <n v="0.1"/>
    <n v="10"/>
    <n v="736"/>
    <n v="12"/>
    <n v="26232"/>
    <x v="1"/>
  </r>
  <r>
    <n v="376"/>
    <s v="CLIENT_376"/>
    <n v="61"/>
    <n v="115378"/>
    <x v="375"/>
    <n v="8.6999999999999994E-2"/>
    <n v="25"/>
    <n v="694"/>
    <n v="6"/>
    <n v="35777"/>
    <x v="2"/>
  </r>
  <r>
    <n v="377"/>
    <s v="CLIENT_377"/>
    <n v="20"/>
    <n v="74992"/>
    <x v="376"/>
    <n v="0.106"/>
    <n v="30"/>
    <n v="613"/>
    <n v="5"/>
    <n v="29838"/>
    <x v="1"/>
  </r>
  <r>
    <n v="378"/>
    <s v="CLIENT_378"/>
    <n v="50"/>
    <n v="102645"/>
    <x v="377"/>
    <n v="9.4E-2"/>
    <n v="25"/>
    <n v="817"/>
    <n v="7"/>
    <n v="35942"/>
    <x v="2"/>
  </r>
  <r>
    <n v="379"/>
    <s v="CLIENT_379"/>
    <n v="22"/>
    <n v="43304"/>
    <x v="378"/>
    <n v="9.1999999999999998E-2"/>
    <n v="30"/>
    <n v="693"/>
    <n v="10"/>
    <n v="40689"/>
    <x v="1"/>
  </r>
  <r>
    <n v="380"/>
    <s v="CLIENT_380"/>
    <n v="35"/>
    <n v="56121"/>
    <x v="379"/>
    <n v="8.5000000000000006E-2"/>
    <n v="20"/>
    <n v="832"/>
    <n v="5"/>
    <n v="4401"/>
    <x v="0"/>
  </r>
  <r>
    <n v="381"/>
    <s v="CLIENT_381"/>
    <n v="57"/>
    <n v="76001"/>
    <x v="380"/>
    <n v="0.1"/>
    <n v="30"/>
    <n v="822"/>
    <n v="15"/>
    <n v="37490"/>
    <x v="2"/>
  </r>
  <r>
    <n v="382"/>
    <s v="CLIENT_382"/>
    <n v="25"/>
    <n v="83012"/>
    <x v="381"/>
    <n v="8.5000000000000006E-2"/>
    <n v="30"/>
    <n v="703"/>
    <n v="6"/>
    <n v="15661"/>
    <x v="2"/>
  </r>
  <r>
    <n v="383"/>
    <s v="CLIENT_383"/>
    <n v="39"/>
    <n v="69681"/>
    <x v="382"/>
    <n v="8.5000000000000006E-2"/>
    <n v="10"/>
    <n v="675"/>
    <n v="12"/>
    <n v="32585"/>
    <x v="2"/>
  </r>
  <r>
    <n v="384"/>
    <s v="CLIENT_384"/>
    <n v="62"/>
    <n v="77865"/>
    <x v="383"/>
    <n v="0.08"/>
    <n v="20"/>
    <n v="845"/>
    <n v="0"/>
    <n v="46975"/>
    <x v="2"/>
  </r>
  <r>
    <n v="385"/>
    <s v="CLIENT_385"/>
    <n v="35"/>
    <n v="17068"/>
    <x v="384"/>
    <n v="0.109"/>
    <n v="10"/>
    <n v="675"/>
    <n v="1"/>
    <n v="20041"/>
    <x v="2"/>
  </r>
  <r>
    <n v="386"/>
    <s v="CLIENT_386"/>
    <n v="42"/>
    <n v="19345"/>
    <x v="385"/>
    <n v="9.7000000000000003E-2"/>
    <n v="10"/>
    <n v="616"/>
    <n v="5"/>
    <n v="8233"/>
    <x v="1"/>
  </r>
  <r>
    <n v="387"/>
    <s v="CLIENT_387"/>
    <n v="59"/>
    <n v="29599"/>
    <x v="386"/>
    <n v="0.104"/>
    <n v="15"/>
    <n v="692"/>
    <n v="0"/>
    <n v="46206"/>
    <x v="2"/>
  </r>
  <r>
    <n v="388"/>
    <s v="CLIENT_388"/>
    <n v="60"/>
    <n v="35118"/>
    <x v="387"/>
    <n v="9.7000000000000003E-2"/>
    <n v="10"/>
    <n v="657"/>
    <n v="6"/>
    <n v="37784"/>
    <x v="2"/>
  </r>
  <r>
    <n v="389"/>
    <s v="CLIENT_389"/>
    <n v="49"/>
    <n v="91423"/>
    <x v="388"/>
    <n v="0.12"/>
    <n v="15"/>
    <n v="704"/>
    <n v="11"/>
    <n v="15522"/>
    <x v="2"/>
  </r>
  <r>
    <n v="390"/>
    <s v="CLIENT_390"/>
    <n v="65"/>
    <n v="53033"/>
    <x v="389"/>
    <n v="0.11799999999999999"/>
    <n v="25"/>
    <n v="829"/>
    <n v="14"/>
    <n v="27057"/>
    <x v="2"/>
  </r>
  <r>
    <n v="391"/>
    <s v="CLIENT_391"/>
    <n v="39"/>
    <n v="45335"/>
    <x v="390"/>
    <n v="8.6999999999999994E-2"/>
    <n v="20"/>
    <n v="771"/>
    <n v="4"/>
    <n v="15613"/>
    <x v="2"/>
  </r>
  <r>
    <n v="392"/>
    <s v="CLIENT_392"/>
    <n v="36"/>
    <n v="81556"/>
    <x v="391"/>
    <n v="8.5000000000000006E-2"/>
    <n v="15"/>
    <n v="657"/>
    <n v="13"/>
    <n v="42353"/>
    <x v="2"/>
  </r>
  <r>
    <n v="393"/>
    <s v="CLIENT_393"/>
    <n v="34"/>
    <n v="92113"/>
    <x v="392"/>
    <n v="0.11"/>
    <n v="15"/>
    <n v="694"/>
    <n v="3"/>
    <n v="37896"/>
    <x v="2"/>
  </r>
  <r>
    <n v="394"/>
    <s v="CLIENT_394"/>
    <n v="33"/>
    <n v="73358"/>
    <x v="393"/>
    <n v="9.1999999999999998E-2"/>
    <n v="10"/>
    <n v="831"/>
    <n v="12"/>
    <n v="44254"/>
    <x v="2"/>
  </r>
  <r>
    <n v="395"/>
    <s v="CLIENT_395"/>
    <n v="60"/>
    <n v="78110"/>
    <x v="394"/>
    <n v="0.09"/>
    <n v="15"/>
    <n v="770"/>
    <n v="14"/>
    <n v="32474"/>
    <x v="2"/>
  </r>
  <r>
    <n v="396"/>
    <s v="CLIENT_396"/>
    <n v="50"/>
    <n v="50615"/>
    <x v="395"/>
    <n v="9.0999999999999998E-2"/>
    <n v="15"/>
    <n v="634"/>
    <n v="4"/>
    <n v="33164"/>
    <x v="1"/>
  </r>
  <r>
    <n v="397"/>
    <s v="CLIENT_397"/>
    <n v="35"/>
    <n v="47091"/>
    <x v="396"/>
    <n v="0.10299999999999999"/>
    <n v="25"/>
    <n v="715"/>
    <n v="13"/>
    <n v="4240"/>
    <x v="0"/>
  </r>
  <r>
    <n v="398"/>
    <s v="CLIENT_398"/>
    <n v="45"/>
    <n v="49539"/>
    <x v="397"/>
    <n v="0.1"/>
    <n v="10"/>
    <n v="683"/>
    <n v="14"/>
    <n v="23506"/>
    <x v="2"/>
  </r>
  <r>
    <n v="399"/>
    <s v="CLIENT_399"/>
    <n v="23"/>
    <n v="48396"/>
    <x v="398"/>
    <n v="0.111"/>
    <n v="25"/>
    <n v="802"/>
    <n v="15"/>
    <n v="7682"/>
    <x v="1"/>
  </r>
  <r>
    <n v="400"/>
    <s v="CLIENT_400"/>
    <n v="52"/>
    <n v="63175"/>
    <x v="399"/>
    <n v="0.107"/>
    <n v="10"/>
    <n v="685"/>
    <n v="6"/>
    <n v="1662"/>
    <x v="0"/>
  </r>
  <r>
    <n v="401"/>
    <s v="CLIENT_401"/>
    <n v="20"/>
    <n v="17276"/>
    <x v="400"/>
    <n v="9.9000000000000005E-2"/>
    <n v="10"/>
    <n v="844"/>
    <n v="10"/>
    <n v="30971"/>
    <x v="1"/>
  </r>
  <r>
    <n v="402"/>
    <s v="CLIENT_402"/>
    <n v="23"/>
    <n v="60718"/>
    <x v="401"/>
    <n v="9.9000000000000005E-2"/>
    <n v="25"/>
    <n v="628"/>
    <n v="15"/>
    <n v="23444"/>
    <x v="1"/>
  </r>
  <r>
    <n v="403"/>
    <s v="CLIENT_403"/>
    <n v="59"/>
    <n v="22217"/>
    <x v="402"/>
    <n v="9.5000000000000001E-2"/>
    <n v="10"/>
    <n v="697"/>
    <n v="9"/>
    <n v="1382"/>
    <x v="0"/>
  </r>
  <r>
    <n v="404"/>
    <s v="CLIENT_404"/>
    <n v="33"/>
    <n v="118106"/>
    <x v="403"/>
    <n v="9.2999999999999999E-2"/>
    <n v="25"/>
    <n v="700"/>
    <n v="0"/>
    <n v="12866"/>
    <x v="0"/>
  </r>
  <r>
    <n v="405"/>
    <s v="CLIENT_405"/>
    <n v="42"/>
    <n v="48282"/>
    <x v="404"/>
    <n v="0.106"/>
    <n v="30"/>
    <n v="735"/>
    <n v="1"/>
    <n v="4335"/>
    <x v="2"/>
  </r>
  <r>
    <n v="406"/>
    <s v="CLIENT_406"/>
    <n v="20"/>
    <n v="74399"/>
    <x v="405"/>
    <n v="8.6999999999999994E-2"/>
    <n v="20"/>
    <n v="727"/>
    <n v="3"/>
    <n v="47905"/>
    <x v="1"/>
  </r>
  <r>
    <n v="407"/>
    <s v="CLIENT_407"/>
    <n v="24"/>
    <n v="34307"/>
    <x v="406"/>
    <n v="0.109"/>
    <n v="20"/>
    <n v="609"/>
    <n v="15"/>
    <n v="31624"/>
    <x v="1"/>
  </r>
  <r>
    <n v="408"/>
    <s v="CLIENT_408"/>
    <n v="23"/>
    <n v="97802"/>
    <x v="407"/>
    <n v="8.8999999999999996E-2"/>
    <n v="25"/>
    <n v="789"/>
    <n v="1"/>
    <n v="4138"/>
    <x v="1"/>
  </r>
  <r>
    <n v="409"/>
    <s v="CLIENT_409"/>
    <n v="54"/>
    <n v="63850"/>
    <x v="408"/>
    <n v="9.1999999999999998E-2"/>
    <n v="30"/>
    <n v="712"/>
    <n v="3"/>
    <n v="29045"/>
    <x v="2"/>
  </r>
  <r>
    <n v="410"/>
    <s v="CLIENT_410"/>
    <n v="62"/>
    <n v="94585"/>
    <x v="409"/>
    <n v="0.106"/>
    <n v="15"/>
    <n v="779"/>
    <n v="7"/>
    <n v="8412"/>
    <x v="0"/>
  </r>
  <r>
    <n v="411"/>
    <s v="CLIENT_411"/>
    <n v="63"/>
    <n v="87338"/>
    <x v="410"/>
    <n v="9.2999999999999999E-2"/>
    <n v="10"/>
    <n v="761"/>
    <n v="6"/>
    <n v="6606"/>
    <x v="0"/>
  </r>
  <r>
    <n v="412"/>
    <s v="CLIENT_412"/>
    <n v="25"/>
    <n v="71263"/>
    <x v="411"/>
    <n v="0.114"/>
    <n v="15"/>
    <n v="747"/>
    <n v="5"/>
    <n v="36113"/>
    <x v="2"/>
  </r>
  <r>
    <n v="413"/>
    <s v="CLIENT_413"/>
    <n v="52"/>
    <n v="60577"/>
    <x v="412"/>
    <n v="8.3000000000000004E-2"/>
    <n v="20"/>
    <n v="692"/>
    <n v="7"/>
    <n v="13325"/>
    <x v="0"/>
  </r>
  <r>
    <n v="414"/>
    <s v="CLIENT_414"/>
    <n v="47"/>
    <n v="51749"/>
    <x v="413"/>
    <n v="0.10100000000000001"/>
    <n v="10"/>
    <n v="664"/>
    <n v="4"/>
    <n v="14553"/>
    <x v="2"/>
  </r>
  <r>
    <n v="415"/>
    <s v="CLIENT_415"/>
    <n v="59"/>
    <n v="44227"/>
    <x v="414"/>
    <n v="9.6000000000000002E-2"/>
    <n v="10"/>
    <n v="718"/>
    <n v="2"/>
    <n v="4049"/>
    <x v="0"/>
  </r>
  <r>
    <n v="416"/>
    <s v="CLIENT_416"/>
    <n v="40"/>
    <n v="67721"/>
    <x v="415"/>
    <n v="0.11600000000000001"/>
    <n v="25"/>
    <n v="708"/>
    <n v="8"/>
    <n v="6147"/>
    <x v="0"/>
  </r>
  <r>
    <n v="417"/>
    <s v="CLIENT_417"/>
    <n v="27"/>
    <n v="56517"/>
    <x v="416"/>
    <n v="0.104"/>
    <n v="15"/>
    <n v="711"/>
    <n v="11"/>
    <n v="34103"/>
    <x v="2"/>
  </r>
  <r>
    <n v="418"/>
    <s v="CLIENT_418"/>
    <n v="37"/>
    <n v="43883"/>
    <x v="417"/>
    <n v="0.1"/>
    <n v="20"/>
    <n v="650"/>
    <n v="7"/>
    <n v="48470"/>
    <x v="2"/>
  </r>
  <r>
    <n v="419"/>
    <s v="CLIENT_419"/>
    <n v="29"/>
    <n v="20174"/>
    <x v="418"/>
    <n v="8.4000000000000005E-2"/>
    <n v="25"/>
    <n v="643"/>
    <n v="12"/>
    <n v="22982"/>
    <x v="1"/>
  </r>
  <r>
    <n v="420"/>
    <s v="CLIENT_420"/>
    <n v="53"/>
    <n v="84867"/>
    <x v="419"/>
    <n v="0.11899999999999999"/>
    <n v="15"/>
    <n v="611"/>
    <n v="9"/>
    <n v="6005"/>
    <x v="1"/>
  </r>
  <r>
    <n v="421"/>
    <s v="CLIENT_421"/>
    <n v="43"/>
    <n v="68508"/>
    <x v="420"/>
    <n v="8.1000000000000003E-2"/>
    <n v="10"/>
    <n v="817"/>
    <n v="4"/>
    <n v="10471"/>
    <x v="0"/>
  </r>
  <r>
    <n v="422"/>
    <s v="CLIENT_422"/>
    <n v="53"/>
    <n v="95892"/>
    <x v="421"/>
    <n v="8.4000000000000005E-2"/>
    <n v="25"/>
    <n v="702"/>
    <n v="7"/>
    <n v="38007"/>
    <x v="2"/>
  </r>
  <r>
    <n v="423"/>
    <s v="CLIENT_423"/>
    <n v="60"/>
    <n v="87556"/>
    <x v="422"/>
    <n v="0.109"/>
    <n v="10"/>
    <n v="700"/>
    <n v="9"/>
    <n v="42727"/>
    <x v="2"/>
  </r>
  <r>
    <n v="424"/>
    <s v="CLIENT_424"/>
    <n v="28"/>
    <n v="44486"/>
    <x v="423"/>
    <n v="0.1"/>
    <n v="10"/>
    <n v="647"/>
    <n v="9"/>
    <n v="44162"/>
    <x v="1"/>
  </r>
  <r>
    <n v="425"/>
    <s v="CLIENT_425"/>
    <n v="43"/>
    <n v="106212"/>
    <x v="424"/>
    <n v="0.115"/>
    <n v="25"/>
    <n v="765"/>
    <n v="11"/>
    <n v="41249"/>
    <x v="2"/>
  </r>
  <r>
    <n v="426"/>
    <s v="CLIENT_426"/>
    <n v="49"/>
    <n v="74585"/>
    <x v="425"/>
    <n v="0.10299999999999999"/>
    <n v="30"/>
    <n v="725"/>
    <n v="14"/>
    <n v="3622"/>
    <x v="0"/>
  </r>
  <r>
    <n v="427"/>
    <s v="CLIENT_427"/>
    <n v="59"/>
    <n v="62912"/>
    <x v="426"/>
    <n v="8.4000000000000005E-2"/>
    <n v="30"/>
    <n v="837"/>
    <n v="7"/>
    <n v="9714"/>
    <x v="0"/>
  </r>
  <r>
    <n v="428"/>
    <s v="CLIENT_428"/>
    <n v="22"/>
    <n v="114697"/>
    <x v="427"/>
    <n v="8.8999999999999996E-2"/>
    <n v="20"/>
    <n v="612"/>
    <n v="0"/>
    <n v="25245"/>
    <x v="1"/>
  </r>
  <r>
    <n v="429"/>
    <s v="CLIENT_429"/>
    <n v="49"/>
    <n v="79148"/>
    <x v="428"/>
    <n v="8.4000000000000005E-2"/>
    <n v="15"/>
    <n v="714"/>
    <n v="9"/>
    <n v="37222"/>
    <x v="2"/>
  </r>
  <r>
    <n v="430"/>
    <s v="CLIENT_430"/>
    <n v="64"/>
    <n v="74274"/>
    <x v="429"/>
    <n v="9.0999999999999998E-2"/>
    <n v="15"/>
    <n v="665"/>
    <n v="12"/>
    <n v="33098"/>
    <x v="2"/>
  </r>
  <r>
    <n v="431"/>
    <s v="CLIENT_431"/>
    <n v="48"/>
    <n v="50965"/>
    <x v="430"/>
    <n v="0.09"/>
    <n v="15"/>
    <n v="769"/>
    <n v="12"/>
    <n v="11093"/>
    <x v="0"/>
  </r>
  <r>
    <n v="432"/>
    <s v="CLIENT_432"/>
    <n v="58"/>
    <n v="36163"/>
    <x v="431"/>
    <n v="0.09"/>
    <n v="30"/>
    <n v="769"/>
    <n v="14"/>
    <n v="31440"/>
    <x v="2"/>
  </r>
  <r>
    <n v="433"/>
    <s v="CLIENT_433"/>
    <n v="58"/>
    <n v="69719"/>
    <x v="432"/>
    <n v="0.109"/>
    <n v="25"/>
    <n v="738"/>
    <n v="0"/>
    <n v="19015"/>
    <x v="2"/>
  </r>
  <r>
    <n v="434"/>
    <s v="CLIENT_434"/>
    <n v="58"/>
    <n v="103569"/>
    <x v="433"/>
    <n v="8.4000000000000005E-2"/>
    <n v="15"/>
    <n v="791"/>
    <n v="0"/>
    <n v="11012"/>
    <x v="2"/>
  </r>
  <r>
    <n v="435"/>
    <s v="CLIENT_435"/>
    <n v="44"/>
    <n v="118268"/>
    <x v="434"/>
    <n v="8.6999999999999994E-2"/>
    <n v="10"/>
    <n v="714"/>
    <n v="1"/>
    <n v="11079"/>
    <x v="2"/>
  </r>
  <r>
    <n v="436"/>
    <s v="CLIENT_436"/>
    <n v="26"/>
    <n v="87253"/>
    <x v="435"/>
    <n v="0.113"/>
    <n v="15"/>
    <n v="777"/>
    <n v="9"/>
    <n v="9181"/>
    <x v="0"/>
  </r>
  <r>
    <n v="437"/>
    <s v="CLIENT_437"/>
    <n v="34"/>
    <n v="83266"/>
    <x v="436"/>
    <n v="0.10299999999999999"/>
    <n v="30"/>
    <n v="701"/>
    <n v="5"/>
    <n v="25158"/>
    <x v="2"/>
  </r>
  <r>
    <n v="438"/>
    <s v="CLIENT_438"/>
    <n v="38"/>
    <n v="76523"/>
    <x v="437"/>
    <n v="9.1999999999999998E-2"/>
    <n v="15"/>
    <n v="666"/>
    <n v="3"/>
    <n v="29786"/>
    <x v="2"/>
  </r>
  <r>
    <n v="439"/>
    <s v="CLIENT_439"/>
    <n v="51"/>
    <n v="79254"/>
    <x v="438"/>
    <n v="0.09"/>
    <n v="20"/>
    <n v="765"/>
    <n v="5"/>
    <n v="30728"/>
    <x v="2"/>
  </r>
  <r>
    <n v="440"/>
    <s v="CLIENT_440"/>
    <n v="49"/>
    <n v="83672"/>
    <x v="439"/>
    <n v="0.113"/>
    <n v="30"/>
    <n v="653"/>
    <n v="0"/>
    <n v="29741"/>
    <x v="2"/>
  </r>
  <r>
    <n v="441"/>
    <s v="CLIENT_441"/>
    <n v="22"/>
    <n v="39278"/>
    <x v="440"/>
    <n v="0.10100000000000001"/>
    <n v="15"/>
    <n v="849"/>
    <n v="9"/>
    <n v="9183"/>
    <x v="1"/>
  </r>
  <r>
    <n v="442"/>
    <s v="CLIENT_442"/>
    <n v="23"/>
    <n v="80523"/>
    <x v="441"/>
    <n v="0.11799999999999999"/>
    <n v="25"/>
    <n v="825"/>
    <n v="15"/>
    <n v="19157"/>
    <x v="1"/>
  </r>
  <r>
    <n v="443"/>
    <s v="CLIENT_443"/>
    <n v="29"/>
    <n v="39992"/>
    <x v="442"/>
    <n v="0.108"/>
    <n v="25"/>
    <n v="659"/>
    <n v="15"/>
    <n v="34904"/>
    <x v="2"/>
  </r>
  <r>
    <n v="444"/>
    <s v="CLIENT_444"/>
    <n v="61"/>
    <n v="112550"/>
    <x v="443"/>
    <n v="0.111"/>
    <n v="20"/>
    <n v="707"/>
    <n v="11"/>
    <n v="11525"/>
    <x v="0"/>
  </r>
  <r>
    <n v="445"/>
    <s v="CLIENT_445"/>
    <n v="25"/>
    <n v="30576"/>
    <x v="444"/>
    <n v="0.09"/>
    <n v="10"/>
    <n v="845"/>
    <n v="3"/>
    <n v="20851"/>
    <x v="2"/>
  </r>
  <r>
    <n v="446"/>
    <s v="CLIENT_446"/>
    <n v="37"/>
    <n v="118408"/>
    <x v="445"/>
    <n v="0.107"/>
    <n v="30"/>
    <n v="648"/>
    <n v="0"/>
    <n v="41812"/>
    <x v="1"/>
  </r>
  <r>
    <n v="447"/>
    <s v="CLIENT_447"/>
    <n v="47"/>
    <n v="28024"/>
    <x v="446"/>
    <n v="9.8000000000000004E-2"/>
    <n v="15"/>
    <n v="762"/>
    <n v="11"/>
    <n v="42521"/>
    <x v="2"/>
  </r>
  <r>
    <n v="448"/>
    <s v="CLIENT_448"/>
    <n v="40"/>
    <n v="40362"/>
    <x v="447"/>
    <n v="8.8999999999999996E-2"/>
    <n v="20"/>
    <n v="628"/>
    <n v="9"/>
    <n v="10555"/>
    <x v="1"/>
  </r>
  <r>
    <n v="449"/>
    <s v="CLIENT_449"/>
    <n v="26"/>
    <n v="100087"/>
    <x v="448"/>
    <n v="8.5000000000000006E-2"/>
    <n v="15"/>
    <n v="626"/>
    <n v="7"/>
    <n v="48031"/>
    <x v="1"/>
  </r>
  <r>
    <n v="450"/>
    <s v="CLIENT_450"/>
    <n v="30"/>
    <n v="79535"/>
    <x v="449"/>
    <n v="0.08"/>
    <n v="15"/>
    <n v="682"/>
    <n v="9"/>
    <n v="49616"/>
    <x v="2"/>
  </r>
  <r>
    <n v="451"/>
    <s v="CLIENT_451"/>
    <n v="37"/>
    <n v="77622"/>
    <x v="450"/>
    <n v="9.6000000000000002E-2"/>
    <n v="10"/>
    <n v="634"/>
    <n v="15"/>
    <n v="45168"/>
    <x v="1"/>
  </r>
  <r>
    <n v="452"/>
    <s v="CLIENT_452"/>
    <n v="29"/>
    <n v="106420"/>
    <x v="451"/>
    <n v="8.4000000000000005E-2"/>
    <n v="10"/>
    <n v="735"/>
    <n v="11"/>
    <n v="28917"/>
    <x v="2"/>
  </r>
  <r>
    <n v="453"/>
    <s v="CLIENT_453"/>
    <n v="27"/>
    <n v="72508"/>
    <x v="452"/>
    <n v="0.109"/>
    <n v="30"/>
    <n v="609"/>
    <n v="0"/>
    <n v="47881"/>
    <x v="1"/>
  </r>
  <r>
    <n v="454"/>
    <s v="CLIENT_454"/>
    <n v="26"/>
    <n v="51894"/>
    <x v="453"/>
    <n v="9.7000000000000003E-2"/>
    <n v="25"/>
    <n v="610"/>
    <n v="2"/>
    <n v="48854"/>
    <x v="1"/>
  </r>
  <r>
    <n v="455"/>
    <s v="CLIENT_455"/>
    <n v="31"/>
    <n v="75366"/>
    <x v="454"/>
    <n v="0.107"/>
    <n v="30"/>
    <n v="662"/>
    <n v="15"/>
    <n v="9748"/>
    <x v="2"/>
  </r>
  <r>
    <n v="456"/>
    <s v="CLIENT_456"/>
    <n v="20"/>
    <n v="29913"/>
    <x v="455"/>
    <n v="0.11899999999999999"/>
    <n v="15"/>
    <n v="818"/>
    <n v="5"/>
    <n v="28679"/>
    <x v="1"/>
  </r>
  <r>
    <n v="457"/>
    <s v="CLIENT_457"/>
    <n v="52"/>
    <n v="76971"/>
    <x v="456"/>
    <n v="0.113"/>
    <n v="20"/>
    <n v="676"/>
    <n v="9"/>
    <n v="44272"/>
    <x v="2"/>
  </r>
  <r>
    <n v="458"/>
    <s v="CLIENT_458"/>
    <n v="54"/>
    <n v="100126"/>
    <x v="457"/>
    <n v="8.7999999999999995E-2"/>
    <n v="30"/>
    <n v="672"/>
    <n v="8"/>
    <n v="39811"/>
    <x v="2"/>
  </r>
  <r>
    <n v="459"/>
    <s v="CLIENT_459"/>
    <n v="58"/>
    <n v="69060"/>
    <x v="458"/>
    <n v="0.113"/>
    <n v="25"/>
    <n v="791"/>
    <n v="0"/>
    <n v="6378"/>
    <x v="2"/>
  </r>
  <r>
    <n v="460"/>
    <s v="CLIENT_460"/>
    <n v="42"/>
    <n v="63336"/>
    <x v="459"/>
    <n v="0.11799999999999999"/>
    <n v="30"/>
    <n v="628"/>
    <n v="15"/>
    <n v="38226"/>
    <x v="1"/>
  </r>
  <r>
    <n v="461"/>
    <s v="CLIENT_461"/>
    <n v="22"/>
    <n v="76628"/>
    <x v="460"/>
    <n v="0.109"/>
    <n v="30"/>
    <n v="820"/>
    <n v="13"/>
    <n v="43107"/>
    <x v="1"/>
  </r>
  <r>
    <n v="462"/>
    <s v="CLIENT_462"/>
    <n v="55"/>
    <n v="86314"/>
    <x v="461"/>
    <n v="0.09"/>
    <n v="25"/>
    <n v="790"/>
    <n v="15"/>
    <n v="20987"/>
    <x v="2"/>
  </r>
  <r>
    <n v="463"/>
    <s v="CLIENT_463"/>
    <n v="39"/>
    <n v="16997"/>
    <x v="462"/>
    <n v="9.5000000000000001E-2"/>
    <n v="10"/>
    <n v="681"/>
    <n v="9"/>
    <n v="16655"/>
    <x v="2"/>
  </r>
  <r>
    <n v="464"/>
    <s v="CLIENT_464"/>
    <n v="60"/>
    <n v="45054"/>
    <x v="463"/>
    <n v="0.109"/>
    <n v="10"/>
    <n v="774"/>
    <n v="9"/>
    <n v="29855"/>
    <x v="2"/>
  </r>
  <r>
    <n v="465"/>
    <s v="CLIENT_465"/>
    <n v="33"/>
    <n v="23420"/>
    <x v="464"/>
    <n v="8.5999999999999993E-2"/>
    <n v="15"/>
    <n v="619"/>
    <n v="1"/>
    <n v="6542"/>
    <x v="1"/>
  </r>
  <r>
    <n v="466"/>
    <s v="CLIENT_466"/>
    <n v="31"/>
    <n v="87561"/>
    <x v="465"/>
    <n v="0.112"/>
    <n v="10"/>
    <n v="763"/>
    <n v="7"/>
    <n v="35989"/>
    <x v="2"/>
  </r>
  <r>
    <n v="467"/>
    <s v="CLIENT_467"/>
    <n v="32"/>
    <n v="100183"/>
    <x v="466"/>
    <n v="0.09"/>
    <n v="10"/>
    <n v="745"/>
    <n v="11"/>
    <n v="14583"/>
    <x v="0"/>
  </r>
  <r>
    <n v="468"/>
    <s v="CLIENT_468"/>
    <n v="46"/>
    <n v="80374"/>
    <x v="467"/>
    <n v="9.8000000000000004E-2"/>
    <n v="10"/>
    <n v="733"/>
    <n v="2"/>
    <n v="12486"/>
    <x v="0"/>
  </r>
  <r>
    <n v="469"/>
    <s v="CLIENT_469"/>
    <n v="63"/>
    <n v="113181"/>
    <x v="468"/>
    <n v="0.1"/>
    <n v="15"/>
    <n v="647"/>
    <n v="0"/>
    <n v="13854"/>
    <x v="1"/>
  </r>
  <r>
    <n v="470"/>
    <s v="CLIENT_470"/>
    <n v="55"/>
    <n v="67653"/>
    <x v="469"/>
    <n v="0.112"/>
    <n v="25"/>
    <n v="625"/>
    <n v="10"/>
    <n v="4320"/>
    <x v="1"/>
  </r>
  <r>
    <n v="471"/>
    <s v="CLIENT_471"/>
    <n v="31"/>
    <n v="96343"/>
    <x v="470"/>
    <n v="0.111"/>
    <n v="15"/>
    <n v="790"/>
    <n v="5"/>
    <n v="17551"/>
    <x v="2"/>
  </r>
  <r>
    <n v="472"/>
    <s v="CLIENT_472"/>
    <n v="64"/>
    <n v="77746"/>
    <x v="471"/>
    <n v="0.108"/>
    <n v="25"/>
    <n v="670"/>
    <n v="11"/>
    <n v="12735"/>
    <x v="2"/>
  </r>
  <r>
    <n v="473"/>
    <s v="CLIENT_473"/>
    <n v="38"/>
    <n v="78602"/>
    <x v="472"/>
    <n v="0.11899999999999999"/>
    <n v="15"/>
    <n v="797"/>
    <n v="4"/>
    <n v="43589"/>
    <x v="2"/>
  </r>
  <r>
    <n v="474"/>
    <s v="CLIENT_474"/>
    <n v="23"/>
    <n v="94674"/>
    <x v="473"/>
    <n v="8.3000000000000004E-2"/>
    <n v="20"/>
    <n v="807"/>
    <n v="9"/>
    <n v="1524"/>
    <x v="1"/>
  </r>
  <r>
    <n v="475"/>
    <s v="CLIENT_475"/>
    <n v="21"/>
    <n v="107196"/>
    <x v="474"/>
    <n v="0.1"/>
    <n v="30"/>
    <n v="683"/>
    <n v="15"/>
    <n v="28623"/>
    <x v="1"/>
  </r>
  <r>
    <n v="476"/>
    <s v="CLIENT_476"/>
    <n v="61"/>
    <n v="16661"/>
    <x v="475"/>
    <n v="9.8000000000000004E-2"/>
    <n v="30"/>
    <n v="652"/>
    <n v="1"/>
    <n v="49046"/>
    <x v="2"/>
  </r>
  <r>
    <n v="477"/>
    <s v="CLIENT_477"/>
    <n v="58"/>
    <n v="93394"/>
    <x v="476"/>
    <n v="0.1"/>
    <n v="15"/>
    <n v="784"/>
    <n v="2"/>
    <n v="46134"/>
    <x v="2"/>
  </r>
  <r>
    <n v="478"/>
    <s v="CLIENT_478"/>
    <n v="21"/>
    <n v="53756"/>
    <x v="477"/>
    <n v="8.7999999999999995E-2"/>
    <n v="20"/>
    <n v="759"/>
    <n v="14"/>
    <n v="18263"/>
    <x v="1"/>
  </r>
  <r>
    <n v="479"/>
    <s v="CLIENT_479"/>
    <n v="27"/>
    <n v="96035"/>
    <x v="478"/>
    <n v="0.10199999999999999"/>
    <n v="20"/>
    <n v="676"/>
    <n v="6"/>
    <n v="824"/>
    <x v="2"/>
  </r>
  <r>
    <n v="480"/>
    <s v="CLIENT_480"/>
    <n v="36"/>
    <n v="40334"/>
    <x v="479"/>
    <n v="8.4000000000000005E-2"/>
    <n v="20"/>
    <n v="636"/>
    <n v="3"/>
    <n v="33814"/>
    <x v="1"/>
  </r>
  <r>
    <n v="481"/>
    <s v="CLIENT_481"/>
    <n v="52"/>
    <n v="32394"/>
    <x v="480"/>
    <n v="0.114"/>
    <n v="10"/>
    <n v="796"/>
    <n v="5"/>
    <n v="28968"/>
    <x v="2"/>
  </r>
  <r>
    <n v="482"/>
    <s v="CLIENT_482"/>
    <n v="20"/>
    <n v="45918"/>
    <x v="481"/>
    <n v="0.113"/>
    <n v="30"/>
    <n v="620"/>
    <n v="1"/>
    <n v="8898"/>
    <x v="1"/>
  </r>
  <r>
    <n v="483"/>
    <s v="CLIENT_483"/>
    <n v="55"/>
    <n v="64971"/>
    <x v="482"/>
    <n v="0.112"/>
    <n v="20"/>
    <n v="605"/>
    <n v="8"/>
    <n v="24544"/>
    <x v="1"/>
  </r>
  <r>
    <n v="484"/>
    <s v="CLIENT_484"/>
    <n v="33"/>
    <n v="28979"/>
    <x v="483"/>
    <n v="0.10299999999999999"/>
    <n v="25"/>
    <n v="628"/>
    <n v="12"/>
    <n v="10911"/>
    <x v="1"/>
  </r>
  <r>
    <n v="485"/>
    <s v="CLIENT_485"/>
    <n v="64"/>
    <n v="65228"/>
    <x v="484"/>
    <n v="8.1000000000000003E-2"/>
    <n v="20"/>
    <n v="635"/>
    <n v="11"/>
    <n v="12440"/>
    <x v="1"/>
  </r>
  <r>
    <n v="486"/>
    <s v="CLIENT_486"/>
    <n v="55"/>
    <n v="58760"/>
    <x v="485"/>
    <n v="8.5999999999999993E-2"/>
    <n v="25"/>
    <n v="657"/>
    <n v="9"/>
    <n v="14793"/>
    <x v="2"/>
  </r>
  <r>
    <n v="487"/>
    <s v="CLIENT_487"/>
    <n v="27"/>
    <n v="20798"/>
    <x v="486"/>
    <n v="8.4000000000000005E-2"/>
    <n v="10"/>
    <n v="621"/>
    <n v="6"/>
    <n v="39743"/>
    <x v="1"/>
  </r>
  <r>
    <n v="488"/>
    <s v="CLIENT_488"/>
    <n v="35"/>
    <n v="105523"/>
    <x v="487"/>
    <n v="0.10299999999999999"/>
    <n v="15"/>
    <n v="752"/>
    <n v="1"/>
    <n v="3170"/>
    <x v="2"/>
  </r>
  <r>
    <n v="489"/>
    <s v="CLIENT_489"/>
    <n v="21"/>
    <n v="79524"/>
    <x v="488"/>
    <n v="9.5000000000000001E-2"/>
    <n v="20"/>
    <n v="677"/>
    <n v="8"/>
    <n v="22594"/>
    <x v="1"/>
  </r>
  <r>
    <n v="490"/>
    <s v="CLIENT_490"/>
    <n v="20"/>
    <n v="67321"/>
    <x v="489"/>
    <n v="9.4E-2"/>
    <n v="15"/>
    <n v="646"/>
    <n v="1"/>
    <n v="41267"/>
    <x v="1"/>
  </r>
  <r>
    <n v="491"/>
    <s v="CLIENT_491"/>
    <n v="64"/>
    <n v="99564"/>
    <x v="490"/>
    <n v="9.9000000000000005E-2"/>
    <n v="10"/>
    <n v="637"/>
    <n v="3"/>
    <n v="36058"/>
    <x v="1"/>
  </r>
  <r>
    <n v="492"/>
    <s v="CLIENT_492"/>
    <n v="38"/>
    <n v="71045"/>
    <x v="491"/>
    <n v="0.11"/>
    <n v="30"/>
    <n v="693"/>
    <n v="0"/>
    <n v="15398"/>
    <x v="2"/>
  </r>
  <r>
    <n v="493"/>
    <s v="CLIENT_493"/>
    <n v="25"/>
    <n v="46846"/>
    <x v="492"/>
    <n v="8.5999999999999993E-2"/>
    <n v="20"/>
    <n v="636"/>
    <n v="13"/>
    <n v="1723"/>
    <x v="1"/>
  </r>
  <r>
    <n v="494"/>
    <s v="CLIENT_494"/>
    <n v="49"/>
    <n v="82241"/>
    <x v="493"/>
    <n v="0.09"/>
    <n v="25"/>
    <n v="664"/>
    <n v="15"/>
    <n v="21767"/>
    <x v="2"/>
  </r>
  <r>
    <n v="495"/>
    <s v="CLIENT_495"/>
    <n v="26"/>
    <n v="73852"/>
    <x v="494"/>
    <n v="0.1"/>
    <n v="25"/>
    <n v="809"/>
    <n v="7"/>
    <n v="36404"/>
    <x v="2"/>
  </r>
  <r>
    <n v="496"/>
    <s v="CLIENT_496"/>
    <n v="65"/>
    <n v="97890"/>
    <x v="495"/>
    <n v="9.1999999999999998E-2"/>
    <n v="25"/>
    <n v="826"/>
    <n v="10"/>
    <n v="48947"/>
    <x v="2"/>
  </r>
  <r>
    <n v="497"/>
    <s v="CLIENT_497"/>
    <n v="27"/>
    <n v="71780"/>
    <x v="496"/>
    <n v="9.7000000000000003E-2"/>
    <n v="20"/>
    <n v="684"/>
    <n v="5"/>
    <n v="20656"/>
    <x v="2"/>
  </r>
  <r>
    <n v="498"/>
    <s v="CLIENT_498"/>
    <n v="38"/>
    <n v="94218"/>
    <x v="497"/>
    <n v="9.7000000000000003E-2"/>
    <n v="25"/>
    <n v="611"/>
    <n v="1"/>
    <n v="2866"/>
    <x v="1"/>
  </r>
  <r>
    <n v="499"/>
    <s v="CLIENT_499"/>
    <n v="21"/>
    <n v="39580"/>
    <x v="498"/>
    <n v="9.8000000000000004E-2"/>
    <n v="30"/>
    <n v="840"/>
    <n v="9"/>
    <n v="40005"/>
    <x v="1"/>
  </r>
  <r>
    <n v="500"/>
    <s v="CLIENT_500"/>
    <n v="35"/>
    <n v="80486"/>
    <x v="499"/>
    <n v="0.115"/>
    <n v="25"/>
    <n v="621"/>
    <n v="8"/>
    <n v="7560"/>
    <x v="1"/>
  </r>
  <r>
    <n v="501"/>
    <s v="CLIENT_1_1"/>
    <n v="34"/>
    <n v="5041"/>
    <x v="500"/>
    <n v="0.13300000000000001"/>
    <n v="20"/>
    <n v="582"/>
    <n v="15"/>
    <n v="28521"/>
    <x v="1"/>
  </r>
  <r>
    <n v="502"/>
    <s v="CLIENT_1_2"/>
    <n v="27"/>
    <n v="7814"/>
    <x v="501"/>
    <n v="5.3999999999999999E-2"/>
    <n v="25"/>
    <n v="771"/>
    <n v="18"/>
    <n v="29599"/>
    <x v="2"/>
  </r>
  <r>
    <n v="503"/>
    <s v="CLIENT_1_3"/>
    <n v="55"/>
    <n v="4885"/>
    <x v="502"/>
    <n v="7.0999999999999994E-2"/>
    <n v="15"/>
    <n v="824"/>
    <n v="5"/>
    <n v="33946"/>
    <x v="2"/>
  </r>
  <r>
    <n v="504"/>
    <s v="CLIENT_1_4"/>
    <n v="65"/>
    <n v="3434"/>
    <x v="503"/>
    <n v="0.06"/>
    <n v="30"/>
    <n v="614"/>
    <n v="17"/>
    <n v="15280"/>
    <x v="1"/>
  </r>
  <r>
    <n v="505"/>
    <s v="CLIENT_1_5"/>
    <n v="46"/>
    <n v="8518"/>
    <x v="504"/>
    <n v="0.14199999999999999"/>
    <n v="20"/>
    <n v="772"/>
    <n v="15"/>
    <n v="8970"/>
    <x v="0"/>
  </r>
  <r>
    <n v="506"/>
    <s v="CLIENT_1_6"/>
    <n v="45"/>
    <n v="4582"/>
    <x v="505"/>
    <n v="0.10299999999999999"/>
    <n v="25"/>
    <n v="797"/>
    <n v="7"/>
    <n v="44460"/>
    <x v="2"/>
  </r>
  <r>
    <n v="507"/>
    <s v="CLIENT_1_7"/>
    <n v="37"/>
    <n v="10794"/>
    <x v="506"/>
    <n v="0.14799999999999999"/>
    <n v="20"/>
    <n v="690"/>
    <n v="14"/>
    <n v="6089"/>
    <x v="0"/>
  </r>
  <r>
    <n v="508"/>
    <s v="CLIENT_1_8"/>
    <n v="42"/>
    <n v="6520"/>
    <x v="507"/>
    <n v="0.14499999999999999"/>
    <n v="25"/>
    <n v="582"/>
    <n v="10"/>
    <n v="36647"/>
    <x v="1"/>
  </r>
  <r>
    <n v="509"/>
    <s v="CLIENT_1_9"/>
    <n v="30"/>
    <n v="3274"/>
    <x v="508"/>
    <n v="0.125"/>
    <n v="30"/>
    <n v="721"/>
    <n v="4"/>
    <n v="7895"/>
    <x v="0"/>
  </r>
  <r>
    <n v="510"/>
    <s v="CLIENT_1_10"/>
    <n v="53"/>
    <n v="6474"/>
    <x v="509"/>
    <n v="0.13300000000000001"/>
    <n v="25"/>
    <n v="817"/>
    <n v="14"/>
    <n v="22476"/>
    <x v="2"/>
  </r>
  <r>
    <n v="511"/>
    <s v="CLIENT_1_11"/>
    <n v="40"/>
    <n v="14609"/>
    <x v="510"/>
    <n v="0.11600000000000001"/>
    <n v="25"/>
    <n v="809"/>
    <n v="8"/>
    <n v="14670"/>
    <x v="0"/>
  </r>
  <r>
    <n v="512"/>
    <s v="CLIENT_1_12"/>
    <n v="31"/>
    <n v="3993"/>
    <x v="511"/>
    <n v="7.9000000000000001E-2"/>
    <n v="10"/>
    <n v="624"/>
    <n v="3"/>
    <n v="636"/>
    <x v="1"/>
  </r>
  <r>
    <n v="513"/>
    <s v="CLIENT_1_13"/>
    <n v="46"/>
    <n v="10993"/>
    <x v="512"/>
    <n v="0.10199999999999999"/>
    <n v="10"/>
    <n v="813"/>
    <n v="3"/>
    <n v="33476"/>
    <x v="2"/>
  </r>
  <r>
    <n v="514"/>
    <s v="CLIENT_1_14"/>
    <n v="51"/>
    <n v="10001"/>
    <x v="513"/>
    <n v="0.14599999999999999"/>
    <n v="10"/>
    <n v="666"/>
    <n v="10"/>
    <n v="6982"/>
    <x v="2"/>
  </r>
  <r>
    <n v="515"/>
    <s v="CLIENT_1_15"/>
    <n v="38"/>
    <n v="10758"/>
    <x v="514"/>
    <n v="0.14599999999999999"/>
    <n v="30"/>
    <n v="810"/>
    <n v="17"/>
    <n v="849"/>
    <x v="0"/>
  </r>
  <r>
    <n v="516"/>
    <s v="CLIENT_1_16"/>
    <n v="65"/>
    <n v="3317"/>
    <x v="515"/>
    <n v="6.6000000000000003E-2"/>
    <n v="15"/>
    <n v="740"/>
    <n v="13"/>
    <n v="9117"/>
    <x v="0"/>
  </r>
  <r>
    <n v="517"/>
    <s v="CLIENT_1_17"/>
    <n v="52"/>
    <n v="13566"/>
    <x v="516"/>
    <n v="0.127"/>
    <n v="30"/>
    <n v="613"/>
    <n v="0"/>
    <n v="665"/>
    <x v="1"/>
  </r>
  <r>
    <n v="518"/>
    <s v="CLIENT_1_18"/>
    <n v="48"/>
    <n v="13461"/>
    <x v="517"/>
    <n v="0.14299999999999999"/>
    <n v="20"/>
    <n v="704"/>
    <n v="4"/>
    <n v="48563"/>
    <x v="2"/>
  </r>
  <r>
    <n v="519"/>
    <s v="CLIENT_1_19"/>
    <n v="41"/>
    <n v="12894"/>
    <x v="518"/>
    <n v="0.113"/>
    <n v="10"/>
    <n v="697"/>
    <n v="11"/>
    <n v="9138"/>
    <x v="0"/>
  </r>
  <r>
    <n v="520"/>
    <s v="CLIENT_1_20"/>
    <n v="62"/>
    <n v="6279"/>
    <x v="519"/>
    <n v="9.5000000000000001E-2"/>
    <n v="25"/>
    <n v="723"/>
    <n v="10"/>
    <n v="26836"/>
    <x v="2"/>
  </r>
  <r>
    <n v="521"/>
    <s v="CLIENT_1_21"/>
    <n v="51"/>
    <n v="9371"/>
    <x v="520"/>
    <n v="0.14699999999999999"/>
    <n v="15"/>
    <n v="829"/>
    <n v="8"/>
    <n v="23623"/>
    <x v="2"/>
  </r>
  <r>
    <n v="522"/>
    <s v="CLIENT_1_22"/>
    <n v="24"/>
    <n v="10123"/>
    <x v="521"/>
    <n v="0.114"/>
    <n v="25"/>
    <n v="774"/>
    <n v="9"/>
    <n v="25557"/>
    <x v="1"/>
  </r>
  <r>
    <n v="523"/>
    <s v="CLIENT_1_23"/>
    <n v="27"/>
    <n v="8589"/>
    <x v="522"/>
    <n v="6.7000000000000004E-2"/>
    <n v="30"/>
    <n v="611"/>
    <n v="0"/>
    <n v="42918"/>
    <x v="1"/>
  </r>
  <r>
    <n v="524"/>
    <s v="CLIENT_1_24"/>
    <n v="36"/>
    <n v="12241"/>
    <x v="523"/>
    <n v="8.5999999999999993E-2"/>
    <n v="10"/>
    <n v="680"/>
    <n v="16"/>
    <n v="24807"/>
    <x v="2"/>
  </r>
  <r>
    <n v="525"/>
    <s v="CLIENT_1_25"/>
    <n v="56"/>
    <n v="12176"/>
    <x v="524"/>
    <n v="7.9000000000000001E-2"/>
    <n v="25"/>
    <n v="810"/>
    <n v="4"/>
    <n v="45046"/>
    <x v="2"/>
  </r>
  <r>
    <n v="526"/>
    <s v="CLIENT_1_26"/>
    <n v="43"/>
    <n v="11494"/>
    <x v="525"/>
    <n v="9.4E-2"/>
    <n v="15"/>
    <n v="707"/>
    <n v="19"/>
    <n v="5393"/>
    <x v="0"/>
  </r>
  <r>
    <n v="527"/>
    <s v="CLIENT_1_27"/>
    <n v="43"/>
    <n v="7372"/>
    <x v="526"/>
    <n v="6.3E-2"/>
    <n v="30"/>
    <n v="797"/>
    <n v="13"/>
    <n v="44097"/>
    <x v="2"/>
  </r>
  <r>
    <n v="528"/>
    <s v="CLIENT_1_28"/>
    <n v="63"/>
    <n v="5581"/>
    <x v="527"/>
    <n v="0.10100000000000001"/>
    <n v="25"/>
    <n v="624"/>
    <n v="19"/>
    <n v="3945"/>
    <x v="1"/>
  </r>
  <r>
    <n v="529"/>
    <s v="CLIENT_1_29"/>
    <n v="65"/>
    <n v="7894"/>
    <x v="528"/>
    <n v="6.7000000000000004E-2"/>
    <n v="20"/>
    <n v="730"/>
    <n v="14"/>
    <n v="17006"/>
    <x v="2"/>
  </r>
  <r>
    <n v="530"/>
    <s v="CLIENT_1_30"/>
    <n v="35"/>
    <n v="2796"/>
    <x v="529"/>
    <n v="0.13400000000000001"/>
    <n v="25"/>
    <n v="841"/>
    <n v="16"/>
    <n v="27538"/>
    <x v="2"/>
  </r>
  <r>
    <n v="531"/>
    <s v="CLIENT_1_31"/>
    <n v="61"/>
    <n v="6811"/>
    <x v="530"/>
    <n v="8.8999999999999996E-2"/>
    <n v="20"/>
    <n v="733"/>
    <n v="4"/>
    <n v="21178"/>
    <x v="2"/>
  </r>
  <r>
    <n v="532"/>
    <s v="CLIENT_1_32"/>
    <n v="33"/>
    <n v="6290"/>
    <x v="531"/>
    <n v="0.123"/>
    <n v="30"/>
    <n v="769"/>
    <n v="0"/>
    <n v="1648"/>
    <x v="2"/>
  </r>
  <r>
    <n v="533"/>
    <s v="CLIENT_1_33"/>
    <n v="64"/>
    <n v="12916"/>
    <x v="532"/>
    <n v="8.2000000000000003E-2"/>
    <n v="25"/>
    <n v="669"/>
    <n v="0"/>
    <n v="5106"/>
    <x v="2"/>
  </r>
  <r>
    <n v="534"/>
    <s v="CLIENT_1_34"/>
    <n v="24"/>
    <n v="7705"/>
    <x v="533"/>
    <n v="9.4E-2"/>
    <n v="30"/>
    <n v="700"/>
    <n v="3"/>
    <n v="39267"/>
    <x v="1"/>
  </r>
  <r>
    <n v="535"/>
    <s v="CLIENT_1_35"/>
    <n v="39"/>
    <n v="7670"/>
    <x v="534"/>
    <n v="8.5999999999999993E-2"/>
    <n v="30"/>
    <n v="767"/>
    <n v="15"/>
    <n v="9676"/>
    <x v="0"/>
  </r>
  <r>
    <n v="536"/>
    <s v="CLIENT_1_36"/>
    <n v="29"/>
    <n v="6580"/>
    <x v="535"/>
    <n v="7.4999999999999997E-2"/>
    <n v="10"/>
    <n v="804"/>
    <n v="13"/>
    <n v="44880"/>
    <x v="2"/>
  </r>
  <r>
    <n v="537"/>
    <s v="CLIENT_1_37"/>
    <n v="56"/>
    <n v="6911"/>
    <x v="536"/>
    <n v="6.4000000000000001E-2"/>
    <n v="20"/>
    <n v="605"/>
    <n v="3"/>
    <n v="14524"/>
    <x v="1"/>
  </r>
  <r>
    <n v="538"/>
    <s v="CLIENT_1_38"/>
    <n v="30"/>
    <n v="10795"/>
    <x v="537"/>
    <n v="9.9000000000000005E-2"/>
    <n v="20"/>
    <n v="734"/>
    <n v="5"/>
    <n v="34968"/>
    <x v="2"/>
  </r>
  <r>
    <n v="539"/>
    <s v="CLIENT_1_39"/>
    <n v="64"/>
    <n v="14757"/>
    <x v="538"/>
    <n v="0.05"/>
    <n v="10"/>
    <n v="748"/>
    <n v="16"/>
    <n v="41425"/>
    <x v="2"/>
  </r>
  <r>
    <n v="540"/>
    <s v="CLIENT_1_40"/>
    <n v="65"/>
    <n v="10769"/>
    <x v="539"/>
    <n v="0.14899999999999999"/>
    <n v="30"/>
    <n v="846"/>
    <n v="10"/>
    <n v="12048"/>
    <x v="0"/>
  </r>
  <r>
    <n v="541"/>
    <s v="CLIENT_1_41"/>
    <n v="29"/>
    <n v="13960"/>
    <x v="540"/>
    <n v="0.14099999999999999"/>
    <n v="10"/>
    <n v="829"/>
    <n v="0"/>
    <n v="8942"/>
    <x v="2"/>
  </r>
  <r>
    <n v="542"/>
    <s v="CLIENT_1_42"/>
    <n v="51"/>
    <n v="3947"/>
    <x v="541"/>
    <n v="0.128"/>
    <n v="30"/>
    <n v="812"/>
    <n v="0"/>
    <n v="11729"/>
    <x v="2"/>
  </r>
  <r>
    <n v="543"/>
    <s v="CLIENT_1_43"/>
    <n v="35"/>
    <n v="4100"/>
    <x v="542"/>
    <n v="8.3000000000000004E-2"/>
    <n v="20"/>
    <n v="620"/>
    <n v="18"/>
    <n v="16809"/>
    <x v="1"/>
  </r>
  <r>
    <n v="544"/>
    <s v="CLIENT_1_44"/>
    <n v="36"/>
    <n v="14984"/>
    <x v="543"/>
    <n v="6.8000000000000005E-2"/>
    <n v="30"/>
    <n v="728"/>
    <n v="7"/>
    <n v="34895"/>
    <x v="2"/>
  </r>
  <r>
    <n v="545"/>
    <s v="CLIENT_1_45"/>
    <n v="55"/>
    <n v="2645"/>
    <x v="544"/>
    <n v="0.10199999999999999"/>
    <n v="25"/>
    <n v="791"/>
    <n v="5"/>
    <n v="16165"/>
    <x v="2"/>
  </r>
  <r>
    <n v="546"/>
    <s v="CLIENT_1_46"/>
    <n v="37"/>
    <n v="8390"/>
    <x v="545"/>
    <n v="8.4000000000000005E-2"/>
    <n v="20"/>
    <n v="683"/>
    <n v="0"/>
    <n v="23845"/>
    <x v="2"/>
  </r>
  <r>
    <n v="547"/>
    <s v="CLIENT_1_47"/>
    <n v="32"/>
    <n v="2545"/>
    <x v="546"/>
    <n v="0.112"/>
    <n v="30"/>
    <n v="803"/>
    <n v="0"/>
    <n v="972"/>
    <x v="2"/>
  </r>
  <r>
    <n v="548"/>
    <s v="CLIENT_1_48"/>
    <n v="37"/>
    <n v="9433"/>
    <x v="547"/>
    <n v="0.107"/>
    <n v="15"/>
    <n v="674"/>
    <n v="7"/>
    <n v="24054"/>
    <x v="2"/>
  </r>
  <r>
    <n v="549"/>
    <s v="CLIENT_1_49"/>
    <n v="23"/>
    <n v="9812"/>
    <x v="548"/>
    <n v="7.5999999999999998E-2"/>
    <n v="20"/>
    <n v="745"/>
    <n v="1"/>
    <n v="45620"/>
    <x v="1"/>
  </r>
  <r>
    <n v="550"/>
    <s v="CLIENT_1_50"/>
    <n v="23"/>
    <n v="6888"/>
    <x v="549"/>
    <n v="8.5000000000000006E-2"/>
    <n v="25"/>
    <n v="612"/>
    <n v="15"/>
    <n v="36794"/>
    <x v="1"/>
  </r>
  <r>
    <n v="551"/>
    <s v="CLIENT_2_1"/>
    <n v="55"/>
    <n v="13534"/>
    <x v="550"/>
    <n v="5.6000000000000001E-2"/>
    <n v="15"/>
    <n v="834"/>
    <n v="3"/>
    <n v="24702"/>
    <x v="2"/>
  </r>
  <r>
    <n v="552"/>
    <s v="CLIENT_2_2"/>
    <n v="38"/>
    <n v="5559"/>
    <x v="507"/>
    <n v="0.126"/>
    <n v="25"/>
    <n v="844"/>
    <n v="11"/>
    <n v="49672"/>
    <x v="2"/>
  </r>
  <r>
    <n v="553"/>
    <s v="CLIENT_2_3"/>
    <n v="46"/>
    <n v="14602"/>
    <x v="551"/>
    <n v="0.114"/>
    <n v="15"/>
    <n v="791"/>
    <n v="18"/>
    <n v="23035"/>
    <x v="2"/>
  </r>
  <r>
    <n v="554"/>
    <s v="CLIENT_2_4"/>
    <n v="29"/>
    <n v="6264"/>
    <x v="552"/>
    <n v="7.4999999999999997E-2"/>
    <n v="15"/>
    <n v="824"/>
    <n v="7"/>
    <n v="30396"/>
    <x v="2"/>
  </r>
  <r>
    <n v="555"/>
    <s v="CLIENT_2_5"/>
    <n v="55"/>
    <n v="6264"/>
    <x v="553"/>
    <n v="8.5999999999999993E-2"/>
    <n v="30"/>
    <n v="780"/>
    <n v="8"/>
    <n v="4406"/>
    <x v="0"/>
  </r>
  <r>
    <n v="556"/>
    <s v="CLIENT_2_6"/>
    <n v="59"/>
    <n v="12043"/>
    <x v="554"/>
    <n v="0.05"/>
    <n v="30"/>
    <n v="790"/>
    <n v="1"/>
    <n v="31092"/>
    <x v="2"/>
  </r>
  <r>
    <n v="557"/>
    <s v="CLIENT_2_7"/>
    <n v="49"/>
    <n v="10385"/>
    <x v="555"/>
    <n v="6.3E-2"/>
    <n v="10"/>
    <n v="782"/>
    <n v="0"/>
    <n v="49885"/>
    <x v="2"/>
  </r>
  <r>
    <n v="558"/>
    <s v="CLIENT_2_8"/>
    <n v="43"/>
    <n v="3897"/>
    <x v="556"/>
    <n v="0.108"/>
    <n v="10"/>
    <n v="732"/>
    <n v="19"/>
    <n v="39887"/>
    <x v="2"/>
  </r>
  <r>
    <n v="559"/>
    <s v="CLIENT_2_9"/>
    <n v="31"/>
    <n v="9865"/>
    <x v="557"/>
    <n v="0.114"/>
    <n v="10"/>
    <n v="600"/>
    <n v="6"/>
    <n v="20705"/>
    <x v="1"/>
  </r>
  <r>
    <n v="560"/>
    <s v="CLIENT_2_10"/>
    <n v="23"/>
    <n v="3762"/>
    <x v="558"/>
    <n v="8.5999999999999993E-2"/>
    <n v="30"/>
    <n v="642"/>
    <n v="20"/>
    <n v="28875"/>
    <x v="1"/>
  </r>
  <r>
    <n v="561"/>
    <s v="CLIENT_2_11"/>
    <n v="63"/>
    <n v="6084"/>
    <x v="559"/>
    <n v="0.104"/>
    <n v="20"/>
    <n v="831"/>
    <n v="13"/>
    <n v="19288"/>
    <x v="2"/>
  </r>
  <r>
    <n v="562"/>
    <s v="CLIENT_2_12"/>
    <n v="51"/>
    <n v="6352"/>
    <x v="560"/>
    <n v="0.13100000000000001"/>
    <n v="10"/>
    <n v="674"/>
    <n v="17"/>
    <n v="33935"/>
    <x v="2"/>
  </r>
  <r>
    <n v="563"/>
    <s v="CLIENT_2_13"/>
    <n v="32"/>
    <n v="11010"/>
    <x v="561"/>
    <n v="7.9000000000000001E-2"/>
    <n v="25"/>
    <n v="702"/>
    <n v="12"/>
    <n v="22409"/>
    <x v="2"/>
  </r>
  <r>
    <n v="564"/>
    <s v="CLIENT_2_14"/>
    <n v="24"/>
    <n v="10532"/>
    <x v="562"/>
    <n v="7.0000000000000007E-2"/>
    <n v="20"/>
    <n v="762"/>
    <n v="4"/>
    <n v="48954"/>
    <x v="1"/>
  </r>
  <r>
    <n v="565"/>
    <s v="CLIENT_2_15"/>
    <n v="38"/>
    <n v="2817"/>
    <x v="563"/>
    <n v="6.8000000000000005E-2"/>
    <n v="25"/>
    <n v="772"/>
    <n v="20"/>
    <n v="43054"/>
    <x v="2"/>
  </r>
  <r>
    <n v="566"/>
    <s v="CLIENT_2_16"/>
    <n v="30"/>
    <n v="7831"/>
    <x v="564"/>
    <n v="0.11700000000000001"/>
    <n v="25"/>
    <n v="601"/>
    <n v="17"/>
    <n v="4869"/>
    <x v="1"/>
  </r>
  <r>
    <n v="567"/>
    <s v="CLIENT_2_17"/>
    <n v="37"/>
    <n v="14622"/>
    <x v="565"/>
    <n v="0.115"/>
    <n v="30"/>
    <n v="751"/>
    <n v="13"/>
    <n v="14109"/>
    <x v="0"/>
  </r>
  <r>
    <n v="568"/>
    <s v="CLIENT_2_18"/>
    <n v="39"/>
    <n v="3001"/>
    <x v="566"/>
    <n v="9.9000000000000005E-2"/>
    <n v="15"/>
    <n v="679"/>
    <n v="9"/>
    <n v="48334"/>
    <x v="2"/>
  </r>
  <r>
    <n v="569"/>
    <s v="CLIENT_2_19"/>
    <n v="41"/>
    <n v="11346"/>
    <x v="567"/>
    <n v="9.8000000000000004E-2"/>
    <n v="25"/>
    <n v="629"/>
    <n v="7"/>
    <n v="27822"/>
    <x v="1"/>
  </r>
  <r>
    <n v="570"/>
    <s v="CLIENT_2_20"/>
    <n v="33"/>
    <n v="3997"/>
    <x v="568"/>
    <n v="0.114"/>
    <n v="15"/>
    <n v="682"/>
    <n v="12"/>
    <n v="46312"/>
    <x v="2"/>
  </r>
  <r>
    <n v="571"/>
    <s v="CLIENT_2_21"/>
    <n v="22"/>
    <n v="3476"/>
    <x v="569"/>
    <n v="0.111"/>
    <n v="10"/>
    <n v="708"/>
    <n v="9"/>
    <n v="41833"/>
    <x v="1"/>
  </r>
  <r>
    <n v="572"/>
    <s v="CLIENT_2_22"/>
    <n v="36"/>
    <n v="11453"/>
    <x v="570"/>
    <n v="0.13600000000000001"/>
    <n v="15"/>
    <n v="722"/>
    <n v="11"/>
    <n v="18100"/>
    <x v="2"/>
  </r>
  <r>
    <n v="573"/>
    <s v="CLIENT_2_23"/>
    <n v="62"/>
    <n v="5022"/>
    <x v="571"/>
    <n v="0.14499999999999999"/>
    <n v="20"/>
    <n v="757"/>
    <n v="3"/>
    <n v="30812"/>
    <x v="2"/>
  </r>
  <r>
    <n v="574"/>
    <s v="CLIENT_2_24"/>
    <n v="48"/>
    <n v="9699"/>
    <x v="572"/>
    <n v="5.5E-2"/>
    <n v="20"/>
    <n v="734"/>
    <n v="20"/>
    <n v="8046"/>
    <x v="0"/>
  </r>
  <r>
    <n v="575"/>
    <s v="CLIENT_2_25"/>
    <n v="62"/>
    <n v="12427"/>
    <x v="573"/>
    <n v="5.3999999999999999E-2"/>
    <n v="20"/>
    <n v="616"/>
    <n v="7"/>
    <n v="49628"/>
    <x v="1"/>
  </r>
  <r>
    <n v="576"/>
    <s v="CLIENT_2_26"/>
    <n v="60"/>
    <n v="5113"/>
    <x v="574"/>
    <n v="8.5999999999999993E-2"/>
    <n v="10"/>
    <n v="676"/>
    <n v="3"/>
    <n v="21007"/>
    <x v="2"/>
  </r>
  <r>
    <n v="577"/>
    <s v="CLIENT_2_27"/>
    <n v="21"/>
    <n v="5934"/>
    <x v="575"/>
    <n v="0.10299999999999999"/>
    <n v="10"/>
    <n v="641"/>
    <n v="2"/>
    <n v="47707"/>
    <x v="1"/>
  </r>
  <r>
    <n v="578"/>
    <s v="CLIENT_2_28"/>
    <n v="65"/>
    <n v="6276"/>
    <x v="576"/>
    <n v="9.4E-2"/>
    <n v="30"/>
    <n v="708"/>
    <n v="15"/>
    <n v="2617"/>
    <x v="0"/>
  </r>
  <r>
    <n v="579"/>
    <s v="CLIENT_2_29"/>
    <n v="29"/>
    <n v="2757"/>
    <x v="577"/>
    <n v="0.1"/>
    <n v="15"/>
    <n v="656"/>
    <n v="14"/>
    <n v="48167"/>
    <x v="2"/>
  </r>
  <r>
    <n v="580"/>
    <s v="CLIENT_2_30"/>
    <n v="28"/>
    <n v="14660"/>
    <x v="578"/>
    <n v="0.123"/>
    <n v="30"/>
    <n v="687"/>
    <n v="5"/>
    <n v="28130"/>
    <x v="2"/>
  </r>
  <r>
    <n v="581"/>
    <s v="CLIENT_2_31"/>
    <n v="64"/>
    <n v="6218"/>
    <x v="579"/>
    <n v="6.4000000000000001E-2"/>
    <n v="20"/>
    <n v="732"/>
    <n v="7"/>
    <n v="43271"/>
    <x v="2"/>
  </r>
  <r>
    <n v="582"/>
    <s v="CLIENT_2_32"/>
    <n v="34"/>
    <n v="11929"/>
    <x v="580"/>
    <n v="0.08"/>
    <n v="20"/>
    <n v="729"/>
    <n v="15"/>
    <n v="27732"/>
    <x v="2"/>
  </r>
  <r>
    <n v="583"/>
    <s v="CLIENT_2_33"/>
    <n v="34"/>
    <n v="7976"/>
    <x v="581"/>
    <n v="7.5999999999999998E-2"/>
    <n v="20"/>
    <n v="696"/>
    <n v="4"/>
    <n v="9842"/>
    <x v="0"/>
  </r>
  <r>
    <n v="584"/>
    <s v="CLIENT_2_34"/>
    <n v="59"/>
    <n v="14434"/>
    <x v="582"/>
    <n v="0.09"/>
    <n v="20"/>
    <n v="624"/>
    <n v="18"/>
    <n v="18297"/>
    <x v="1"/>
  </r>
  <r>
    <n v="585"/>
    <s v="CLIENT_2_35"/>
    <n v="34"/>
    <n v="9588"/>
    <x v="583"/>
    <n v="0.124"/>
    <n v="20"/>
    <n v="771"/>
    <n v="11"/>
    <n v="21072"/>
    <x v="2"/>
  </r>
  <r>
    <n v="586"/>
    <s v="CLIENT_2_36"/>
    <n v="21"/>
    <n v="3221"/>
    <x v="584"/>
    <n v="9.7000000000000003E-2"/>
    <n v="25"/>
    <n v="757"/>
    <n v="10"/>
    <n v="14898"/>
    <x v="1"/>
  </r>
  <r>
    <n v="587"/>
    <s v="CLIENT_2_37"/>
    <n v="61"/>
    <n v="2874"/>
    <x v="585"/>
    <n v="8.6999999999999994E-2"/>
    <n v="15"/>
    <n v="689"/>
    <n v="20"/>
    <n v="29545"/>
    <x v="2"/>
  </r>
  <r>
    <n v="588"/>
    <s v="CLIENT_2_38"/>
    <n v="56"/>
    <n v="12435"/>
    <x v="586"/>
    <n v="0.124"/>
    <n v="20"/>
    <n v="600"/>
    <n v="6"/>
    <n v="47219"/>
    <x v="1"/>
  </r>
  <r>
    <n v="589"/>
    <s v="CLIENT_2_39"/>
    <n v="52"/>
    <n v="13416"/>
    <x v="587"/>
    <n v="9.5000000000000001E-2"/>
    <n v="20"/>
    <n v="844"/>
    <n v="18"/>
    <n v="41443"/>
    <x v="2"/>
  </r>
  <r>
    <n v="590"/>
    <s v="CLIENT_2_40"/>
    <n v="61"/>
    <n v="9298"/>
    <x v="588"/>
    <n v="0.15"/>
    <n v="20"/>
    <n v="680"/>
    <n v="12"/>
    <n v="4753"/>
    <x v="0"/>
  </r>
  <r>
    <n v="591"/>
    <s v="CLIENT_2_41"/>
    <n v="45"/>
    <n v="14349"/>
    <x v="589"/>
    <n v="6.3E-2"/>
    <n v="10"/>
    <n v="794"/>
    <n v="5"/>
    <n v="25282"/>
    <x v="2"/>
  </r>
  <r>
    <n v="592"/>
    <s v="CLIENT_2_42"/>
    <n v="50"/>
    <n v="11222"/>
    <x v="590"/>
    <n v="6.9000000000000006E-2"/>
    <n v="15"/>
    <n v="845"/>
    <n v="11"/>
    <n v="337"/>
    <x v="0"/>
  </r>
  <r>
    <n v="593"/>
    <s v="CLIENT_2_43"/>
    <n v="48"/>
    <n v="10077"/>
    <x v="591"/>
    <n v="0.125"/>
    <n v="30"/>
    <n v="586"/>
    <n v="2"/>
    <n v="39509"/>
    <x v="1"/>
  </r>
  <r>
    <n v="594"/>
    <s v="CLIENT_2_44"/>
    <n v="61"/>
    <n v="6097"/>
    <x v="592"/>
    <n v="8.1000000000000003E-2"/>
    <n v="20"/>
    <n v="843"/>
    <n v="16"/>
    <n v="11666"/>
    <x v="0"/>
  </r>
  <r>
    <n v="595"/>
    <s v="CLIENT_2_45"/>
    <n v="27"/>
    <n v="8904"/>
    <x v="593"/>
    <n v="0.13100000000000001"/>
    <n v="20"/>
    <n v="704"/>
    <n v="13"/>
    <n v="16966"/>
    <x v="2"/>
  </r>
  <r>
    <n v="596"/>
    <s v="CLIENT_2_46"/>
    <n v="22"/>
    <n v="5551"/>
    <x v="594"/>
    <n v="0.14199999999999999"/>
    <n v="15"/>
    <n v="670"/>
    <n v="17"/>
    <n v="9557"/>
    <x v="1"/>
  </r>
  <r>
    <n v="597"/>
    <s v="CLIENT_2_47"/>
    <n v="36"/>
    <n v="5097"/>
    <x v="595"/>
    <n v="8.5000000000000006E-2"/>
    <n v="30"/>
    <n v="764"/>
    <n v="20"/>
    <n v="40988"/>
    <x v="2"/>
  </r>
  <r>
    <n v="598"/>
    <s v="CLIENT_2_48"/>
    <n v="40"/>
    <n v="7669"/>
    <x v="596"/>
    <n v="5.0999999999999997E-2"/>
    <n v="10"/>
    <n v="713"/>
    <n v="18"/>
    <n v="19305"/>
    <x v="2"/>
  </r>
  <r>
    <n v="599"/>
    <s v="CLIENT_2_49"/>
    <n v="37"/>
    <n v="2950"/>
    <x v="597"/>
    <n v="7.2999999999999995E-2"/>
    <n v="15"/>
    <n v="736"/>
    <n v="9"/>
    <n v="16283"/>
    <x v="2"/>
  </r>
  <r>
    <n v="600"/>
    <s v="CLIENT_2_50"/>
    <n v="44"/>
    <n v="9442"/>
    <x v="598"/>
    <n v="8.3000000000000004E-2"/>
    <n v="30"/>
    <n v="798"/>
    <n v="8"/>
    <n v="48618"/>
    <x v="2"/>
  </r>
  <r>
    <m/>
    <m/>
    <m/>
    <m/>
    <x v="599"/>
    <m/>
    <m/>
    <m/>
    <m/>
    <m/>
    <x v="3"/>
  </r>
  <r>
    <m/>
    <m/>
    <m/>
    <m/>
    <x v="599"/>
    <m/>
    <m/>
    <m/>
    <m/>
    <m/>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0DE467-F139-4057-8158-ADC982878072}" name="scorebydecision"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Credit Score">
  <location ref="C20:J28" firstHeaderRow="1" firstDataRow="2" firstDataCol="1"/>
  <pivotFields count="13">
    <pivotField dataField="1" showAll="0"/>
    <pivotField showAll="0"/>
    <pivotField showAll="0"/>
    <pivotField showAll="0"/>
    <pivotField numFmtId="164" showAll="0"/>
    <pivotField showAll="0"/>
    <pivotField showAll="0"/>
    <pivotField axis="axisRow" showAll="0">
      <items count="9">
        <item x="0"/>
        <item x="1"/>
        <item x="2"/>
        <item x="3"/>
        <item x="4"/>
        <item x="5"/>
        <item x="6"/>
        <item x="7"/>
        <item t="default"/>
      </items>
    </pivotField>
    <pivotField showAll="0"/>
    <pivotField numFmtId="164" showAll="0"/>
    <pivotField showAll="0">
      <items count="4">
        <item x="0"/>
        <item x="1"/>
        <item x="2"/>
        <item t="default"/>
      </items>
    </pivotField>
    <pivotField showAll="0"/>
    <pivotField axis="axisCol" showAll="0">
      <items count="8">
        <item x="2"/>
        <item m="1" x="6"/>
        <item x="3"/>
        <item x="4"/>
        <item x="0"/>
        <item x="1"/>
        <item x="5"/>
        <item t="default"/>
      </items>
    </pivotField>
  </pivotFields>
  <rowFields count="1">
    <field x="7"/>
  </rowFields>
  <rowItems count="7">
    <i>
      <x v="1"/>
    </i>
    <i>
      <x v="2"/>
    </i>
    <i>
      <x v="3"/>
    </i>
    <i>
      <x v="4"/>
    </i>
    <i>
      <x v="5"/>
    </i>
    <i>
      <x v="6"/>
    </i>
    <i t="grand">
      <x/>
    </i>
  </rowItems>
  <colFields count="1">
    <field x="12"/>
  </colFields>
  <colItems count="7">
    <i>
      <x/>
    </i>
    <i>
      <x v="2"/>
    </i>
    <i>
      <x v="3"/>
    </i>
    <i>
      <x v="4"/>
    </i>
    <i>
      <x v="5"/>
    </i>
    <i>
      <x v="6"/>
    </i>
    <i t="grand">
      <x/>
    </i>
  </colItems>
  <dataFields count="1">
    <dataField name="Count of ID" fld="0" subtotal="count" baseField="7" baseItem="4"/>
  </dataFields>
  <chartFormats count="12">
    <chartFormat chart="3" format="26" series="1">
      <pivotArea type="data" outline="0" fieldPosition="0">
        <references count="1">
          <reference field="12" count="1" selected="0">
            <x v="0"/>
          </reference>
        </references>
      </pivotArea>
    </chartFormat>
    <chartFormat chart="3" format="27" series="1">
      <pivotArea type="data" outline="0" fieldPosition="0">
        <references count="1">
          <reference field="12" count="1" selected="0">
            <x v="2"/>
          </reference>
        </references>
      </pivotArea>
    </chartFormat>
    <chartFormat chart="3" format="28" series="1">
      <pivotArea type="data" outline="0" fieldPosition="0">
        <references count="1">
          <reference field="12" count="1" selected="0">
            <x v="3"/>
          </reference>
        </references>
      </pivotArea>
    </chartFormat>
    <chartFormat chart="3" format="29" series="1">
      <pivotArea type="data" outline="0" fieldPosition="0">
        <references count="1">
          <reference field="12" count="1" selected="0">
            <x v="4"/>
          </reference>
        </references>
      </pivotArea>
    </chartFormat>
    <chartFormat chart="3" format="30" series="1">
      <pivotArea type="data" outline="0" fieldPosition="0">
        <references count="1">
          <reference field="12" count="1" selected="0">
            <x v="5"/>
          </reference>
        </references>
      </pivotArea>
    </chartFormat>
    <chartFormat chart="3" format="31" series="1">
      <pivotArea type="data" outline="0" fieldPosition="0">
        <references count="1">
          <reference field="12" count="1" selected="0">
            <x v="6"/>
          </reference>
        </references>
      </pivotArea>
    </chartFormat>
    <chartFormat chart="3" format="32" series="1">
      <pivotArea type="data" outline="0" fieldPosition="0">
        <references count="2">
          <reference field="4294967294" count="1" selected="0">
            <x v="0"/>
          </reference>
          <reference field="12" count="1" selected="0">
            <x v="0"/>
          </reference>
        </references>
      </pivotArea>
    </chartFormat>
    <chartFormat chart="3" format="33" series="1">
      <pivotArea type="data" outline="0" fieldPosition="0">
        <references count="2">
          <reference field="4294967294" count="1" selected="0">
            <x v="0"/>
          </reference>
          <reference field="12" count="1" selected="0">
            <x v="2"/>
          </reference>
        </references>
      </pivotArea>
    </chartFormat>
    <chartFormat chart="3" format="34" series="1">
      <pivotArea type="data" outline="0" fieldPosition="0">
        <references count="2">
          <reference field="4294967294" count="1" selected="0">
            <x v="0"/>
          </reference>
          <reference field="12" count="1" selected="0">
            <x v="3"/>
          </reference>
        </references>
      </pivotArea>
    </chartFormat>
    <chartFormat chart="3" format="35" series="1">
      <pivotArea type="data" outline="0" fieldPosition="0">
        <references count="2">
          <reference field="4294967294" count="1" selected="0">
            <x v="0"/>
          </reference>
          <reference field="12" count="1" selected="0">
            <x v="4"/>
          </reference>
        </references>
      </pivotArea>
    </chartFormat>
    <chartFormat chart="3" format="36" series="1">
      <pivotArea type="data" outline="0" fieldPosition="0">
        <references count="2">
          <reference field="4294967294" count="1" selected="0">
            <x v="0"/>
          </reference>
          <reference field="12" count="1" selected="0">
            <x v="5"/>
          </reference>
        </references>
      </pivotArea>
    </chartFormat>
    <chartFormat chart="3" format="37" series="1">
      <pivotArea type="data" outline="0" fieldPosition="0">
        <references count="2">
          <reference field="4294967294" count="1" selected="0">
            <x v="0"/>
          </reference>
          <reference field="1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6F1621-205C-4229-B05A-63038C3AFA47}" name="PivotTable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Decision">
  <location ref="F4:G8" firstHeaderRow="1" firstDataRow="1" firstDataCol="1"/>
  <pivotFields count="13">
    <pivotField showAll="0"/>
    <pivotField showAll="0"/>
    <pivotField showAll="0"/>
    <pivotField showAll="0"/>
    <pivotField numFmtId="164" showAll="0"/>
    <pivotField showAll="0"/>
    <pivotField showAll="0"/>
    <pivotField showAll="0"/>
    <pivotField showAll="0"/>
    <pivotField numFmtId="164" showAll="0"/>
    <pivotField name="Decision distribution" axis="axisRow" dataField="1" showAll="0">
      <items count="4">
        <item x="0"/>
        <item x="1"/>
        <item x="2"/>
        <item t="default"/>
      </items>
    </pivotField>
    <pivotField numFmtId="10" showAll="0"/>
    <pivotField showAll="0"/>
  </pivotFields>
  <rowFields count="1">
    <field x="10"/>
  </rowFields>
  <rowItems count="4">
    <i>
      <x/>
    </i>
    <i>
      <x v="1"/>
    </i>
    <i>
      <x v="2"/>
    </i>
    <i t="grand">
      <x/>
    </i>
  </rowItems>
  <colItems count="1">
    <i/>
  </colItems>
  <dataFields count="1">
    <dataField name="% of Decision" fld="10" subtotal="count" showDataAs="percentOfTotal" baseField="0" baseItem="0" numFmtId="10"/>
  </dataFields>
  <chartFormats count="4">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0" count="1" selected="0">
            <x v="0"/>
          </reference>
        </references>
      </pivotArea>
    </chartFormat>
    <chartFormat chart="6" format="4">
      <pivotArea type="data" outline="0" fieldPosition="0">
        <references count="2">
          <reference field="4294967294" count="1" selected="0">
            <x v="0"/>
          </reference>
          <reference field="10" count="1" selected="0">
            <x v="1"/>
          </reference>
        </references>
      </pivotArea>
    </chartFormat>
    <chartFormat chart="6" format="5">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D865C0B-5A50-470B-9F6B-24F306BFE555}" name="PivotTable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Decision">
  <location ref="C10:D14" firstHeaderRow="1" firstDataRow="1" firstDataCol="1"/>
  <pivotFields count="13">
    <pivotField showAll="0"/>
    <pivotField showAll="0"/>
    <pivotField showAll="0"/>
    <pivotField showAll="0"/>
    <pivotField numFmtId="164" showAll="0"/>
    <pivotField showAll="0"/>
    <pivotField showAll="0"/>
    <pivotField showAll="0"/>
    <pivotField showAll="0"/>
    <pivotField numFmtId="164" showAll="0"/>
    <pivotField axis="axisRow" showAll="0">
      <items count="4">
        <item x="0"/>
        <item x="1"/>
        <item x="2"/>
        <item t="default"/>
      </items>
    </pivotField>
    <pivotField dataField="1" numFmtId="10" showAll="0"/>
    <pivotField showAll="0"/>
  </pivotFields>
  <rowFields count="1">
    <field x="10"/>
  </rowFields>
  <rowItems count="4">
    <i>
      <x/>
    </i>
    <i>
      <x v="1"/>
    </i>
    <i>
      <x v="2"/>
    </i>
    <i t="grand">
      <x/>
    </i>
  </rowItems>
  <colItems count="1">
    <i/>
  </colItems>
  <dataFields count="1">
    <dataField name="Average of DTI Ratio" fld="11" subtotal="average" baseField="0" baseItem="0" numFmtId="10"/>
  </dataFields>
  <chartFormats count="4">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0" count="1" selected="0">
            <x v="0"/>
          </reference>
        </references>
      </pivotArea>
    </chartFormat>
    <chartFormat chart="3" format="4">
      <pivotArea type="data" outline="0" fieldPosition="0">
        <references count="2">
          <reference field="4294967294" count="1" selected="0">
            <x v="0"/>
          </reference>
          <reference field="10" count="1" selected="0">
            <x v="1"/>
          </reference>
        </references>
      </pivotArea>
    </chartFormat>
    <chartFormat chart="3" format="5">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442C40-FA52-459E-8702-5E377C192889}" name="rule by current debt"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Rules flags">
  <location ref="F10:G17" firstHeaderRow="1" firstDataRow="1" firstDataCol="1"/>
  <pivotFields count="13">
    <pivotField showAll="0"/>
    <pivotField showAll="0"/>
    <pivotField showAll="0"/>
    <pivotField showAll="0"/>
    <pivotField numFmtId="164" showAll="0"/>
    <pivotField showAll="0"/>
    <pivotField showAll="0"/>
    <pivotField showAll="0"/>
    <pivotField showAll="0"/>
    <pivotField dataField="1" numFmtId="164" showAll="0"/>
    <pivotField showAll="0">
      <items count="4">
        <item x="0"/>
        <item x="1"/>
        <item x="2"/>
        <item t="default"/>
      </items>
    </pivotField>
    <pivotField showAll="0"/>
    <pivotField axis="axisRow" showAll="0">
      <items count="8">
        <item x="2"/>
        <item m="1" x="6"/>
        <item x="3"/>
        <item x="4"/>
        <item x="0"/>
        <item x="1"/>
        <item x="5"/>
        <item t="default"/>
      </items>
    </pivotField>
  </pivotFields>
  <rowFields count="1">
    <field x="12"/>
  </rowFields>
  <rowItems count="7">
    <i>
      <x/>
    </i>
    <i>
      <x v="2"/>
    </i>
    <i>
      <x v="3"/>
    </i>
    <i>
      <x v="4"/>
    </i>
    <i>
      <x v="5"/>
    </i>
    <i>
      <x v="6"/>
    </i>
    <i t="grand">
      <x/>
    </i>
  </rowItems>
  <colItems count="1">
    <i/>
  </colItems>
  <dataFields count="1">
    <dataField name="Sum of Current_Debt" fld="9" baseField="0" baseItem="0" numFmtId="164"/>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90C2B4A-FED8-4768-B85C-6ECE380B61D2}" name="PivotTable5"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cision">
  <location ref="C4:D8" firstHeaderRow="1" firstDataRow="1" firstDataCol="1"/>
  <pivotFields count="13">
    <pivotField showAll="0"/>
    <pivotField showAll="0"/>
    <pivotField showAll="0"/>
    <pivotField showAll="0"/>
    <pivotField dataField="1" numFmtId="164" showAll="0"/>
    <pivotField showAll="0"/>
    <pivotField showAll="0"/>
    <pivotField showAll="0"/>
    <pivotField showAll="0"/>
    <pivotField numFmtId="164" showAll="0"/>
    <pivotField axis="axisRow" showAll="0">
      <items count="4">
        <item x="0"/>
        <item x="1"/>
        <item x="2"/>
        <item t="default"/>
      </items>
    </pivotField>
    <pivotField numFmtId="10" showAll="0"/>
    <pivotField showAll="0"/>
  </pivotFields>
  <rowFields count="1">
    <field x="10"/>
  </rowFields>
  <rowItems count="4">
    <i>
      <x/>
    </i>
    <i>
      <x v="1"/>
    </i>
    <i>
      <x v="2"/>
    </i>
    <i t="grand">
      <x/>
    </i>
  </rowItems>
  <colItems count="1">
    <i/>
  </colItems>
  <dataFields count="1">
    <dataField name="Sum of Loan_Amount" fld="4"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939469C-1C93-441B-9885-6F40C471173D}"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Decision">
  <location ref="I4:J8" firstHeaderRow="1" firstDataRow="1" firstDataCol="1"/>
  <pivotFields count="11">
    <pivotField dataField="1" showAll="0"/>
    <pivotField showAll="0"/>
    <pivotField showAll="0"/>
    <pivotField showAll="0"/>
    <pivotField showAll="0"/>
    <pivotField showAll="0"/>
    <pivotField showAll="0"/>
    <pivotField showAll="0"/>
    <pivotField showAll="0"/>
    <pivotField showAll="0"/>
    <pivotField axis="axisRow" showAll="0">
      <items count="5">
        <item x="0"/>
        <item x="1"/>
        <item x="2"/>
        <item h="1" x="3"/>
        <item t="default"/>
      </items>
    </pivotField>
  </pivotFields>
  <rowFields count="1">
    <field x="10"/>
  </rowFields>
  <rowItems count="4">
    <i>
      <x/>
    </i>
    <i>
      <x v="1"/>
    </i>
    <i>
      <x v="2"/>
    </i>
    <i t="grand">
      <x/>
    </i>
  </rowItems>
  <colItems count="1">
    <i/>
  </colItems>
  <dataFields count="1">
    <dataField name="Total application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722656B-A69F-4181-8CBC-8A69C4ACFBEE}" name="PivotTable1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Rule flags">
  <location ref="I10:J17" firstHeaderRow="1" firstDataRow="1" firstDataCol="1"/>
  <pivotFields count="13">
    <pivotField dataField="1" showAll="0"/>
    <pivotField showAll="0"/>
    <pivotField showAll="0"/>
    <pivotField showAll="0"/>
    <pivotField numFmtId="164" showAll="0"/>
    <pivotField showAll="0"/>
    <pivotField showAll="0"/>
    <pivotField showAll="0"/>
    <pivotField showAll="0"/>
    <pivotField numFmtId="164" showAll="0"/>
    <pivotField showAll="0"/>
    <pivotField showAll="0"/>
    <pivotField axis="axisRow" showAll="0">
      <items count="8">
        <item x="2"/>
        <item m="1" x="6"/>
        <item x="3"/>
        <item x="4"/>
        <item x="0"/>
        <item x="1"/>
        <item x="5"/>
        <item t="default"/>
      </items>
    </pivotField>
  </pivotFields>
  <rowFields count="1">
    <field x="12"/>
  </rowFields>
  <rowItems count="7">
    <i>
      <x/>
    </i>
    <i>
      <x v="2"/>
    </i>
    <i>
      <x v="3"/>
    </i>
    <i>
      <x v="4"/>
    </i>
    <i>
      <x v="5"/>
    </i>
    <i>
      <x v="6"/>
    </i>
    <i t="grand">
      <x/>
    </i>
  </rowItems>
  <colItems count="1">
    <i/>
  </colItems>
  <dataFields count="1">
    <dataField name="Count of ID" fld="0" subtotal="count" showDataAs="percentOfTotal" baseField="12" baseItem="0" numFmtId="10"/>
  </dataFields>
  <chartFormats count="8">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2" count="1" selected="0">
            <x v="0"/>
          </reference>
        </references>
      </pivotArea>
    </chartFormat>
    <chartFormat chart="3" format="8">
      <pivotArea type="data" outline="0" fieldPosition="0">
        <references count="2">
          <reference field="4294967294" count="1" selected="0">
            <x v="0"/>
          </reference>
          <reference field="12" count="1" selected="0">
            <x v="1"/>
          </reference>
        </references>
      </pivotArea>
    </chartFormat>
    <chartFormat chart="3" format="9">
      <pivotArea type="data" outline="0" fieldPosition="0">
        <references count="2">
          <reference field="4294967294" count="1" selected="0">
            <x v="0"/>
          </reference>
          <reference field="12" count="1" selected="0">
            <x v="2"/>
          </reference>
        </references>
      </pivotArea>
    </chartFormat>
    <chartFormat chart="3" format="10">
      <pivotArea type="data" outline="0" fieldPosition="0">
        <references count="2">
          <reference field="4294967294" count="1" selected="0">
            <x v="0"/>
          </reference>
          <reference field="12" count="1" selected="0">
            <x v="3"/>
          </reference>
        </references>
      </pivotArea>
    </chartFormat>
    <chartFormat chart="3" format="11">
      <pivotArea type="data" outline="0" fieldPosition="0">
        <references count="2">
          <reference field="4294967294" count="1" selected="0">
            <x v="0"/>
          </reference>
          <reference field="12" count="1" selected="0">
            <x v="4"/>
          </reference>
        </references>
      </pivotArea>
    </chartFormat>
    <chartFormat chart="3" format="12">
      <pivotArea type="data" outline="0" fieldPosition="0">
        <references count="2">
          <reference field="4294967294" count="1" selected="0">
            <x v="0"/>
          </reference>
          <reference field="12" count="1" selected="0">
            <x v="5"/>
          </reference>
        </references>
      </pivotArea>
    </chartFormat>
    <chartFormat chart="3" format="13">
      <pivotArea type="data" outline="0" fieldPosition="0">
        <references count="2">
          <reference field="4294967294" count="1" selected="0">
            <x v="0"/>
          </reference>
          <reference field="1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3D21A539-12B0-4078-8292-65A33B6B7343}" autoFormatId="16" applyNumberFormats="0" applyBorderFormats="0" applyFontFormats="0" applyPatternFormats="0" applyAlignmentFormats="0" applyWidthHeightFormats="0">
  <queryTableRefresh nextId="11">
    <queryTableFields count="10">
      <queryTableField id="1" name="ID" tableColumnId="1"/>
      <queryTableField id="2" name="Client_Name" tableColumnId="2"/>
      <queryTableField id="3" name="Age" tableColumnId="3"/>
      <queryTableField id="4" name="Monthly_Income" tableColumnId="4"/>
      <queryTableField id="5" name="Loan_Amount" tableColumnId="5"/>
      <queryTableField id="6" name="Annual_Rate" tableColumnId="6"/>
      <queryTableField id="7" name="Term_Years" tableColumnId="7"/>
      <queryTableField id="8" name="Credit_Score" tableColumnId="8"/>
      <queryTableField id="9" name="Years_Employment" tableColumnId="9"/>
      <queryTableField id="10" name="Current_Debt"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ACF32ED6-9BB9-4708-AD5F-CAA13E75250C}" autoFormatId="16" applyNumberFormats="0" applyBorderFormats="0" applyFontFormats="0" applyPatternFormats="0" applyAlignmentFormats="0" applyWidthHeightFormats="0">
  <queryTableRefresh nextId="11">
    <queryTableFields count="10">
      <queryTableField id="1" name="ID" tableColumnId="1"/>
      <queryTableField id="2" name="Client_Name" tableColumnId="2"/>
      <queryTableField id="3" name="Age" tableColumnId="3"/>
      <queryTableField id="4" name="Monthly_Income" tableColumnId="4"/>
      <queryTableField id="5" name="Loan_Amount" tableColumnId="5"/>
      <queryTableField id="6" name="Annual_Rate" tableColumnId="6"/>
      <queryTableField id="7" name="Term_Years" tableColumnId="7"/>
      <queryTableField id="8" name="Credit_Score" tableColumnId="8"/>
      <queryTableField id="9" name="Years_Employment" tableColumnId="9"/>
      <queryTableField id="10" name="Current_Debt"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8" xr16:uid="{79E98E98-E24C-4092-85BC-AF1528FC4639}" autoFormatId="16" applyNumberFormats="0" applyBorderFormats="0" applyFontFormats="0" applyPatternFormats="0" applyAlignmentFormats="0" applyWidthHeightFormats="0">
  <queryTableRefresh nextId="12">
    <queryTableFields count="11">
      <queryTableField id="1" name="Source.Name" tableColumnId="1"/>
      <queryTableField id="2" name="ID" tableColumnId="2"/>
      <queryTableField id="3" name="Client_Name" tableColumnId="3"/>
      <queryTableField id="4" name="Age" tableColumnId="4"/>
      <queryTableField id="5" name="Monthly_Income" tableColumnId="5"/>
      <queryTableField id="6" name="Loan_Amount" tableColumnId="6"/>
      <queryTableField id="7" name="Annual_Rate" tableColumnId="7"/>
      <queryTableField id="8" name="Term_Years" tableColumnId="8"/>
      <queryTableField id="9" name="Credit_Score" tableColumnId="9"/>
      <queryTableField id="10" name="Years_Employment" tableColumnId="10"/>
      <queryTableField id="11" name="Current_Debt"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sion" xr10:uid="{B4ED5447-6C1A-4561-8276-4EE4D776766C}" sourceName="Decision">
  <pivotTables>
    <pivotTable tabId="7" name="rule by current debt"/>
    <pivotTable tabId="7" name="scorebydecision"/>
  </pivotTables>
  <data>
    <tabular pivotCacheId="867270369">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cision" xr10:uid="{7FC40BC4-C0FD-4EDA-8FF9-CF0AC8950EA8}" cache="Slicer_Decision" caption="Decision" style="SlicerStyleOther2"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8F7060D-07D0-44B0-910C-6B834BA93CAD}" name="Clients_500_dirty__2" displayName="Clients_500_dirty__2" ref="A1:J501" tableType="queryTable" totalsRowShown="0">
  <autoFilter ref="A1:J501" xr:uid="{38F7060D-07D0-44B0-910C-6B834BA93CAD}"/>
  <tableColumns count="10">
    <tableColumn id="1" xr3:uid="{F3CA1242-3782-4135-A950-7088E47B08F6}" uniqueName="1" name="ID" queryTableFieldId="1"/>
    <tableColumn id="2" xr3:uid="{1266A3B8-2CEC-4B6C-8328-6326695113DA}" uniqueName="2" name="Client_Name" queryTableFieldId="2" dataDxfId="36"/>
    <tableColumn id="3" xr3:uid="{D1D699FA-C4B9-4772-9AFF-29C361266437}" uniqueName="3" name="Age" queryTableFieldId="3" dataDxfId="35"/>
    <tableColumn id="4" xr3:uid="{46DAAEA2-5DC7-4A36-BB59-9DD21F928FDA}" uniqueName="4" name="Monthly_Income" queryTableFieldId="4" dataDxfId="34"/>
    <tableColumn id="5" xr3:uid="{094ADB82-EF21-4017-AE74-221A509BEB18}" uniqueName="5" name="Loan_Amount" queryTableFieldId="5" dataDxfId="7"/>
    <tableColumn id="6" xr3:uid="{7E950842-81B5-410E-A816-166E2D372B73}" uniqueName="6" name="Annual_Rate" queryTableFieldId="6"/>
    <tableColumn id="7" xr3:uid="{E6B59807-522A-4A3B-BBE0-DE5A7FAF5583}" uniqueName="7" name="Term_Years" queryTableFieldId="7"/>
    <tableColumn id="8" xr3:uid="{5DBFDD9C-541B-4D01-92F8-2BA364ABF02F}" uniqueName="8" name="Credit_Score" queryTableFieldId="8" dataDxfId="33"/>
    <tableColumn id="9" xr3:uid="{475FC6C4-FC66-4E49-ADAA-92D02B9B15D3}" uniqueName="9" name="Years_Employment" queryTableFieldId="9"/>
    <tableColumn id="10" xr3:uid="{F8B08868-A92B-4C99-A4A5-61A5D50CAF26}" uniqueName="10" name="Current_Debt" queryTableFieldId="10"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2DBFA-B540-4215-BF24-E7D30929CE1D}" name="Clients_500_dirty" displayName="Clients_500_dirty" ref="A1:J501" tableType="queryTable" totalsRowShown="0">
  <autoFilter ref="A1:J501" xr:uid="{8D92DBFA-B540-4215-BF24-E7D30929CE1D}"/>
  <tableColumns count="10">
    <tableColumn id="1" xr3:uid="{6DDFB2FE-2D36-46D9-9106-6F786A9AD037}" uniqueName="1" name="ID" queryTableFieldId="1"/>
    <tableColumn id="2" xr3:uid="{570BD029-0BDC-4ECE-812B-6F8DE7177966}" uniqueName="2" name="Client_Name" queryTableFieldId="2" dataDxfId="32"/>
    <tableColumn id="3" xr3:uid="{CFF0644E-5882-452A-A547-4E10FEE0589A}" uniqueName="3" name="Age" queryTableFieldId="3" dataDxfId="31"/>
    <tableColumn id="4" xr3:uid="{97EC9866-9BA9-44F1-9509-90871500E4C3}" uniqueName="4" name="Monthly_Income" queryTableFieldId="4" dataDxfId="30"/>
    <tableColumn id="5" xr3:uid="{C690EA5A-485F-4987-8EB6-65B315E443DD}" uniqueName="5" name="Loan_Amount" queryTableFieldId="5"/>
    <tableColumn id="6" xr3:uid="{C16AC16F-8244-4BEE-89B0-511FF0A5CF46}" uniqueName="6" name="Annual_Rate" queryTableFieldId="6"/>
    <tableColumn id="7" xr3:uid="{D87E9262-D30F-4AED-B8E3-7A87C326ECB3}" uniqueName="7" name="Term_Years" queryTableFieldId="7"/>
    <tableColumn id="8" xr3:uid="{DB48BC3B-4463-46FF-940D-4E16B04EC45B}" uniqueName="8" name="Credit_Score" queryTableFieldId="8" dataDxfId="29"/>
    <tableColumn id="9" xr3:uid="{C2A5C214-D81B-4FC8-A006-07D79BFD0A82}" uniqueName="9" name="Years_Employment" queryTableFieldId="9"/>
    <tableColumn id="10" xr3:uid="{F8252C57-4C00-47DE-97F4-0FCCD99A506C}" uniqueName="10" name="Current_Debt" queryTableFieldId="10" dataDxfId="2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995C0C-B13F-48B2-BA7E-8613E4FF20D8}" name="Daily_data_2__3" displayName="Daily_data_2__3" ref="A1:K603" tableType="queryTable" totalsRowShown="0">
  <autoFilter ref="A1:K603" xr:uid="{58995C0C-B13F-48B2-BA7E-8613E4FF20D8}"/>
  <tableColumns count="11">
    <tableColumn id="1" xr3:uid="{BDD9BF7B-6941-4662-9E07-55874C94B29A}" uniqueName="1" name="Source.Name" queryTableFieldId="1" dataDxfId="40"/>
    <tableColumn id="2" xr3:uid="{FA4C0851-644D-4CAD-9287-06CEB83BD2A7}" uniqueName="2" name="ID" queryTableFieldId="2"/>
    <tableColumn id="3" xr3:uid="{287BA55C-D98A-40BE-AF8D-9B64B965F178}" uniqueName="3" name="Client_Name" queryTableFieldId="3" dataDxfId="39"/>
    <tableColumn id="4" xr3:uid="{4B08E70E-20CE-4212-8E2F-BBAAD347D7FD}" uniqueName="4" name="Age" queryTableFieldId="4"/>
    <tableColumn id="5" xr3:uid="{C48923D8-39DC-4434-8975-51702AEEBA5C}" uniqueName="5" name="Monthly_Income" queryTableFieldId="5" dataDxfId="38" dataCellStyle="Currency"/>
    <tableColumn id="6" xr3:uid="{532FC6FC-DC07-4291-B642-28A1C14D2170}" uniqueName="6" name="Loan_Amount" queryTableFieldId="6" dataCellStyle="Currency"/>
    <tableColumn id="7" xr3:uid="{DD486CCB-6563-4D99-8D9F-FD8AF923F775}" uniqueName="7" name="Annual_Rate" queryTableFieldId="7"/>
    <tableColumn id="8" xr3:uid="{85EAE115-01C6-4F95-89BE-EDE08A6A32BA}" uniqueName="8" name="Term_Years" queryTableFieldId="8"/>
    <tableColumn id="9" xr3:uid="{568D9942-78B0-4E2C-90BB-E5D993B00B91}" uniqueName="9" name="Credit_Score" queryTableFieldId="9"/>
    <tableColumn id="10" xr3:uid="{ECE39907-84B9-40B7-8EC4-6ADE1316BDA8}" uniqueName="10" name="Years_Employment" queryTableFieldId="10"/>
    <tableColumn id="11" xr3:uid="{8C6041D7-7F96-40ED-8448-71EBDBE945FD}" uniqueName="11" name="Current_Debt" queryTableFieldId="11" dataDxfId="37" dataCellStyle="Currenc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DB6E70-6106-4DAE-ACB1-E19A9AAB429A}" name="EV" displayName="EV" ref="A1:M603" totalsRowShown="0" dataDxfId="27">
  <autoFilter ref="A1:M603" xr:uid="{33DB6E70-6106-4DAE-ACB1-E19A9AAB429A}"/>
  <tableColumns count="13">
    <tableColumn id="1" xr3:uid="{6C2EFEBB-12F9-4240-95F1-81496A409F87}" name="ID" dataDxfId="26"/>
    <tableColumn id="2" xr3:uid="{8CBCF2AF-E477-4ED8-8043-13D14DF185D7}" name="Client_Name" dataDxfId="25"/>
    <tableColumn id="3" xr3:uid="{005D3310-2378-4DDE-A463-D84EA06A27A1}" name="Age" dataDxfId="24"/>
    <tableColumn id="4" xr3:uid="{F1F18E8B-69B3-499E-99B8-81F4C0676346}" name="Monthly_Income" dataDxfId="23"/>
    <tableColumn id="5" xr3:uid="{6D1781AE-7D40-4549-B126-CB9FF146393C}" name="Loan_Amount" dataDxfId="22"/>
    <tableColumn id="6" xr3:uid="{49DE59EF-D49C-44D1-93F7-8272117B4111}" name="Annual_Rate" dataDxfId="21"/>
    <tableColumn id="7" xr3:uid="{2BC11E6C-3E1F-4A16-A102-7803329CB8EE}" name="Term_Years" dataDxfId="20"/>
    <tableColumn id="8" xr3:uid="{E4AC434A-6708-4802-8C4C-2856E6EB65DA}" name="Credit_Score" dataDxfId="19"/>
    <tableColumn id="9" xr3:uid="{A6EFBA31-BDDE-4840-8B7C-A3E4FA533FFE}" name="Years_Employment" dataDxfId="18"/>
    <tableColumn id="10" xr3:uid="{9D2072FB-19B7-47F6-BFFB-B1B7AF6A16F2}" name="Current_Debt" dataDxfId="17"/>
    <tableColumn id="11" xr3:uid="{B9AB627F-F7BF-4F2C-A40B-7099C378070E}" name="Decision" dataDxfId="16"/>
    <tableColumn id="12" xr3:uid="{6B55A637-2606-454B-8E0C-D9EC20DB71ED}" name="DTI Ratio" dataDxfId="15">
      <calculatedColumnFormula>EV[[#This Row],[Current_Debt]]/EV[[#This Row],[Monthly_Income]]</calculatedColumnFormula>
    </tableColumn>
    <tableColumn id="13" xr3:uid="{15E4BA84-B0E8-4CAA-AAC3-2909FF5BBB67}" name="Rule_Flag" dataDxfId="14"/>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680C1F-A47C-4205-8209-FFDA70E60371}" name="Table7" displayName="Table7" ref="C4:D15" headerRowCount="0" totalsRowShown="0" headerRowDxfId="13" tableBorderDxfId="12">
  <tableColumns count="2">
    <tableColumn id="1" xr3:uid="{A3060707-F5C9-405A-84F7-BC39F7029675}" name="Column1" headerRowDxfId="11" dataDxfId="10"/>
    <tableColumn id="2" xr3:uid="{D82DD80E-229E-447B-A830-D84C427E0371}" name="Column2" headerRowDxfId="9" dataDxfId="8"/>
  </tableColumns>
  <tableStyleInfo name="TableStyleDark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4B211-50C6-4301-80C7-28DC29168E15}">
  <sheetPr codeName="Sheet1"/>
  <dimension ref="A1:J501"/>
  <sheetViews>
    <sheetView workbookViewId="0">
      <selection activeCell="K9" sqref="K9"/>
    </sheetView>
  </sheetViews>
  <sheetFormatPr defaultRowHeight="14.4" x14ac:dyDescent="0.3"/>
  <cols>
    <col min="1" max="1" width="5" bestFit="1" customWidth="1"/>
    <col min="2" max="2" width="14" bestFit="1" customWidth="1"/>
    <col min="3" max="3" width="6.21875" bestFit="1" customWidth="1"/>
    <col min="4" max="4" width="16.88671875" bestFit="1" customWidth="1"/>
    <col min="5" max="5" width="14.33203125" style="1" bestFit="1" customWidth="1"/>
    <col min="6" max="6" width="13.44140625" bestFit="1" customWidth="1"/>
    <col min="7" max="7" width="12.77734375" bestFit="1" customWidth="1"/>
    <col min="8" max="8" width="14" bestFit="1" customWidth="1"/>
    <col min="9" max="9" width="19.21875" bestFit="1" customWidth="1"/>
    <col min="10" max="10" width="14.21875" style="1" bestFit="1" customWidth="1"/>
    <col min="11" max="11" width="16.88671875" bestFit="1" customWidth="1"/>
    <col min="12" max="12" width="14.33203125" bestFit="1" customWidth="1"/>
    <col min="13" max="13" width="13.44140625" bestFit="1" customWidth="1"/>
    <col min="14" max="14" width="12.77734375" bestFit="1" customWidth="1"/>
    <col min="15" max="15" width="14" bestFit="1" customWidth="1"/>
    <col min="16" max="16" width="19.21875" bestFit="1" customWidth="1"/>
    <col min="17" max="17" width="14.21875" bestFit="1" customWidth="1"/>
  </cols>
  <sheetData>
    <row r="1" spans="1:10" x14ac:dyDescent="0.3">
      <c r="A1" t="s">
        <v>0</v>
      </c>
      <c r="B1" t="s">
        <v>1</v>
      </c>
      <c r="C1" t="s">
        <v>2</v>
      </c>
      <c r="D1" t="s">
        <v>3</v>
      </c>
      <c r="E1" s="1" t="s">
        <v>4</v>
      </c>
      <c r="F1" t="s">
        <v>5</v>
      </c>
      <c r="G1" t="s">
        <v>6</v>
      </c>
      <c r="H1" t="s">
        <v>7</v>
      </c>
      <c r="I1" t="s">
        <v>8</v>
      </c>
      <c r="J1" s="1" t="s">
        <v>9</v>
      </c>
    </row>
    <row r="2" spans="1:10" x14ac:dyDescent="0.3">
      <c r="A2">
        <v>1</v>
      </c>
      <c r="B2" t="s">
        <v>1787</v>
      </c>
      <c r="C2" t="s">
        <v>1788</v>
      </c>
      <c r="D2" t="s">
        <v>12</v>
      </c>
      <c r="E2" s="1">
        <v>2129720</v>
      </c>
      <c r="F2">
        <v>0.113</v>
      </c>
      <c r="G2">
        <v>15</v>
      </c>
      <c r="H2" t="s">
        <v>11</v>
      </c>
      <c r="I2">
        <v>4</v>
      </c>
      <c r="J2" s="1" t="s">
        <v>13</v>
      </c>
    </row>
    <row r="3" spans="1:10" x14ac:dyDescent="0.3">
      <c r="A3">
        <v>2</v>
      </c>
      <c r="B3" t="s">
        <v>1789</v>
      </c>
      <c r="C3" t="s">
        <v>1788</v>
      </c>
      <c r="D3" t="s">
        <v>15</v>
      </c>
      <c r="E3" s="1">
        <v>1848806</v>
      </c>
      <c r="F3">
        <v>0.11799999999999999</v>
      </c>
      <c r="G3">
        <v>25</v>
      </c>
      <c r="H3" t="s">
        <v>1788</v>
      </c>
      <c r="I3">
        <v>6</v>
      </c>
      <c r="J3" s="1" t="s">
        <v>16</v>
      </c>
    </row>
    <row r="4" spans="1:10" x14ac:dyDescent="0.3">
      <c r="A4">
        <v>3</v>
      </c>
      <c r="B4" t="s">
        <v>1790</v>
      </c>
      <c r="C4" t="s">
        <v>11</v>
      </c>
      <c r="D4" t="s">
        <v>18</v>
      </c>
      <c r="E4" s="1">
        <v>892770</v>
      </c>
      <c r="F4">
        <v>0.109</v>
      </c>
      <c r="G4">
        <v>15</v>
      </c>
      <c r="H4" t="s">
        <v>19</v>
      </c>
      <c r="I4">
        <v>9</v>
      </c>
      <c r="J4" s="1" t="s">
        <v>20</v>
      </c>
    </row>
    <row r="5" spans="1:10" x14ac:dyDescent="0.3">
      <c r="A5">
        <v>4</v>
      </c>
      <c r="B5" t="s">
        <v>1791</v>
      </c>
      <c r="C5" t="s">
        <v>11</v>
      </c>
      <c r="D5" t="s">
        <v>15</v>
      </c>
      <c r="E5" s="1">
        <v>1738070</v>
      </c>
      <c r="F5">
        <v>8.7999999999999995E-2</v>
      </c>
      <c r="G5">
        <v>30</v>
      </c>
      <c r="H5" t="s">
        <v>11</v>
      </c>
      <c r="I5">
        <v>1</v>
      </c>
      <c r="J5" s="1" t="s">
        <v>22</v>
      </c>
    </row>
    <row r="6" spans="1:10" x14ac:dyDescent="0.3">
      <c r="A6">
        <v>5</v>
      </c>
      <c r="B6" t="s">
        <v>1792</v>
      </c>
      <c r="C6" t="s">
        <v>1788</v>
      </c>
      <c r="D6" t="s">
        <v>24</v>
      </c>
      <c r="E6" s="1">
        <v>753151</v>
      </c>
      <c r="F6">
        <v>0.11899999999999999</v>
      </c>
      <c r="G6">
        <v>25</v>
      </c>
      <c r="H6" t="s">
        <v>1788</v>
      </c>
      <c r="I6">
        <v>5</v>
      </c>
      <c r="J6" s="1" t="s">
        <v>15</v>
      </c>
    </row>
    <row r="7" spans="1:10" x14ac:dyDescent="0.3">
      <c r="A7">
        <v>6</v>
      </c>
      <c r="B7" t="s">
        <v>1793</v>
      </c>
      <c r="C7" t="s">
        <v>26</v>
      </c>
      <c r="D7" t="s">
        <v>15</v>
      </c>
      <c r="E7" s="1">
        <v>1688682</v>
      </c>
      <c r="F7">
        <v>0.10299999999999999</v>
      </c>
      <c r="G7">
        <v>15</v>
      </c>
      <c r="H7" t="s">
        <v>27</v>
      </c>
      <c r="I7">
        <v>11</v>
      </c>
      <c r="J7" s="1" t="s">
        <v>15</v>
      </c>
    </row>
    <row r="8" spans="1:10" x14ac:dyDescent="0.3">
      <c r="A8">
        <v>7</v>
      </c>
      <c r="B8" t="s">
        <v>1794</v>
      </c>
      <c r="C8" t="s">
        <v>11</v>
      </c>
      <c r="D8" t="s">
        <v>29</v>
      </c>
      <c r="E8" s="1">
        <v>1242578</v>
      </c>
      <c r="F8">
        <v>8.5000000000000006E-2</v>
      </c>
      <c r="G8">
        <v>15</v>
      </c>
      <c r="H8" t="s">
        <v>1788</v>
      </c>
      <c r="I8">
        <v>3</v>
      </c>
      <c r="J8" s="1" t="s">
        <v>30</v>
      </c>
    </row>
    <row r="9" spans="1:10" x14ac:dyDescent="0.3">
      <c r="A9">
        <v>8</v>
      </c>
      <c r="B9" t="s">
        <v>1795</v>
      </c>
      <c r="C9" t="s">
        <v>32</v>
      </c>
      <c r="D9" t="s">
        <v>33</v>
      </c>
      <c r="E9" s="1">
        <v>1593428</v>
      </c>
      <c r="F9">
        <v>0.09</v>
      </c>
      <c r="G9">
        <v>10</v>
      </c>
      <c r="H9" t="s">
        <v>1788</v>
      </c>
      <c r="I9">
        <v>15</v>
      </c>
      <c r="J9" s="1" t="s">
        <v>34</v>
      </c>
    </row>
    <row r="10" spans="1:10" x14ac:dyDescent="0.3">
      <c r="A10">
        <v>9</v>
      </c>
      <c r="B10" t="s">
        <v>1796</v>
      </c>
      <c r="C10" t="s">
        <v>36</v>
      </c>
      <c r="D10" t="s">
        <v>37</v>
      </c>
      <c r="E10" s="1">
        <v>820294</v>
      </c>
      <c r="F10">
        <v>0.10299999999999999</v>
      </c>
      <c r="G10">
        <v>15</v>
      </c>
      <c r="H10" t="s">
        <v>1788</v>
      </c>
      <c r="I10">
        <v>15</v>
      </c>
      <c r="J10" s="1" t="s">
        <v>38</v>
      </c>
    </row>
    <row r="11" spans="1:10" x14ac:dyDescent="0.3">
      <c r="A11">
        <v>10</v>
      </c>
      <c r="B11" t="s">
        <v>1797</v>
      </c>
      <c r="C11" t="s">
        <v>40</v>
      </c>
      <c r="D11" t="s">
        <v>41</v>
      </c>
      <c r="E11" s="1">
        <v>1350443</v>
      </c>
      <c r="F11">
        <v>0.105</v>
      </c>
      <c r="G11">
        <v>25</v>
      </c>
      <c r="H11" t="s">
        <v>11</v>
      </c>
      <c r="I11">
        <v>10</v>
      </c>
      <c r="J11" s="1" t="s">
        <v>42</v>
      </c>
    </row>
    <row r="12" spans="1:10" x14ac:dyDescent="0.3">
      <c r="A12">
        <v>11</v>
      </c>
      <c r="B12" t="s">
        <v>1798</v>
      </c>
      <c r="C12" t="s">
        <v>1788</v>
      </c>
      <c r="D12" t="s">
        <v>44</v>
      </c>
      <c r="E12" s="1">
        <v>1404845</v>
      </c>
      <c r="F12">
        <v>9.4E-2</v>
      </c>
      <c r="G12">
        <v>25</v>
      </c>
      <c r="H12" t="s">
        <v>1788</v>
      </c>
      <c r="I12">
        <v>4</v>
      </c>
      <c r="J12" s="1" t="s">
        <v>15</v>
      </c>
    </row>
    <row r="13" spans="1:10" x14ac:dyDescent="0.3">
      <c r="A13">
        <v>12</v>
      </c>
      <c r="B13" t="s">
        <v>1799</v>
      </c>
      <c r="C13" t="s">
        <v>1788</v>
      </c>
      <c r="D13" t="s">
        <v>46</v>
      </c>
      <c r="E13" s="1">
        <v>2297298</v>
      </c>
      <c r="F13">
        <v>0.112</v>
      </c>
      <c r="G13">
        <v>30</v>
      </c>
      <c r="H13" t="s">
        <v>1788</v>
      </c>
      <c r="I13">
        <v>0</v>
      </c>
      <c r="J13" s="1" t="s">
        <v>47</v>
      </c>
    </row>
    <row r="14" spans="1:10" x14ac:dyDescent="0.3">
      <c r="A14">
        <v>13</v>
      </c>
      <c r="B14" t="s">
        <v>1800</v>
      </c>
      <c r="C14" t="s">
        <v>11</v>
      </c>
      <c r="D14" t="s">
        <v>15</v>
      </c>
      <c r="E14" s="1">
        <v>658245</v>
      </c>
      <c r="F14">
        <v>9.2999999999999999E-2</v>
      </c>
      <c r="G14">
        <v>25</v>
      </c>
      <c r="H14" t="s">
        <v>49</v>
      </c>
      <c r="I14">
        <v>10</v>
      </c>
      <c r="J14" s="1" t="s">
        <v>50</v>
      </c>
    </row>
    <row r="15" spans="1:10" x14ac:dyDescent="0.3">
      <c r="A15">
        <v>14</v>
      </c>
      <c r="B15" t="s">
        <v>1801</v>
      </c>
      <c r="C15" t="s">
        <v>11</v>
      </c>
      <c r="D15" t="s">
        <v>15</v>
      </c>
      <c r="E15" s="1">
        <v>794480</v>
      </c>
      <c r="F15">
        <v>0.106</v>
      </c>
      <c r="G15">
        <v>25</v>
      </c>
      <c r="H15" t="s">
        <v>52</v>
      </c>
      <c r="I15">
        <v>7</v>
      </c>
      <c r="J15" s="1" t="s">
        <v>53</v>
      </c>
    </row>
    <row r="16" spans="1:10" x14ac:dyDescent="0.3">
      <c r="A16">
        <v>15</v>
      </c>
      <c r="B16" t="s">
        <v>1802</v>
      </c>
      <c r="C16" t="s">
        <v>11</v>
      </c>
      <c r="D16" t="s">
        <v>55</v>
      </c>
      <c r="E16" s="1">
        <v>1998848</v>
      </c>
      <c r="F16">
        <v>0.106</v>
      </c>
      <c r="G16">
        <v>20</v>
      </c>
      <c r="H16" t="s">
        <v>56</v>
      </c>
      <c r="I16">
        <v>15</v>
      </c>
      <c r="J16" s="1" t="s">
        <v>57</v>
      </c>
    </row>
    <row r="17" spans="1:10" x14ac:dyDescent="0.3">
      <c r="A17">
        <v>16</v>
      </c>
      <c r="B17" t="s">
        <v>1803</v>
      </c>
      <c r="C17" t="s">
        <v>59</v>
      </c>
      <c r="D17" t="s">
        <v>60</v>
      </c>
      <c r="E17" s="1">
        <v>1478220</v>
      </c>
      <c r="F17">
        <v>8.3000000000000004E-2</v>
      </c>
      <c r="G17">
        <v>25</v>
      </c>
      <c r="H17" t="s">
        <v>61</v>
      </c>
      <c r="I17">
        <v>2</v>
      </c>
      <c r="J17" s="1" t="s">
        <v>62</v>
      </c>
    </row>
    <row r="18" spans="1:10" x14ac:dyDescent="0.3">
      <c r="A18">
        <v>17</v>
      </c>
      <c r="B18" t="s">
        <v>1804</v>
      </c>
      <c r="C18" t="s">
        <v>59</v>
      </c>
      <c r="D18" t="s">
        <v>64</v>
      </c>
      <c r="E18" s="1">
        <v>2381636</v>
      </c>
      <c r="F18">
        <v>0.108</v>
      </c>
      <c r="G18">
        <v>20</v>
      </c>
      <c r="H18" t="s">
        <v>65</v>
      </c>
      <c r="I18">
        <v>11</v>
      </c>
      <c r="J18" s="1" t="s">
        <v>66</v>
      </c>
    </row>
    <row r="19" spans="1:10" x14ac:dyDescent="0.3">
      <c r="A19">
        <v>18</v>
      </c>
      <c r="B19" t="s">
        <v>1805</v>
      </c>
      <c r="C19" t="s">
        <v>1788</v>
      </c>
      <c r="D19" t="s">
        <v>68</v>
      </c>
      <c r="E19" s="1">
        <v>1441455</v>
      </c>
      <c r="F19">
        <v>9.7000000000000003E-2</v>
      </c>
      <c r="G19">
        <v>25</v>
      </c>
      <c r="H19" t="s">
        <v>11</v>
      </c>
      <c r="I19">
        <v>7</v>
      </c>
      <c r="J19" s="1" t="s">
        <v>15</v>
      </c>
    </row>
    <row r="20" spans="1:10" x14ac:dyDescent="0.3">
      <c r="A20">
        <v>19</v>
      </c>
      <c r="B20" t="s">
        <v>1806</v>
      </c>
      <c r="C20" t="s">
        <v>1788</v>
      </c>
      <c r="D20" t="s">
        <v>70</v>
      </c>
      <c r="E20" s="1">
        <v>1601370</v>
      </c>
      <c r="F20">
        <v>8.2000000000000003E-2</v>
      </c>
      <c r="G20">
        <v>15</v>
      </c>
      <c r="H20" t="s">
        <v>11</v>
      </c>
      <c r="I20">
        <v>13</v>
      </c>
      <c r="J20" s="1" t="s">
        <v>15</v>
      </c>
    </row>
    <row r="21" spans="1:10" x14ac:dyDescent="0.3">
      <c r="A21">
        <v>20</v>
      </c>
      <c r="B21" t="s">
        <v>1807</v>
      </c>
      <c r="C21" t="s">
        <v>11</v>
      </c>
      <c r="D21" t="s">
        <v>15</v>
      </c>
      <c r="E21" s="1">
        <v>1850814</v>
      </c>
      <c r="F21">
        <v>0.105</v>
      </c>
      <c r="G21">
        <v>25</v>
      </c>
      <c r="H21" t="s">
        <v>1788</v>
      </c>
      <c r="I21">
        <v>6</v>
      </c>
      <c r="J21" s="1" t="s">
        <v>15</v>
      </c>
    </row>
    <row r="22" spans="1:10" x14ac:dyDescent="0.3">
      <c r="A22">
        <v>21</v>
      </c>
      <c r="B22" t="s">
        <v>1808</v>
      </c>
      <c r="C22" t="s">
        <v>1788</v>
      </c>
      <c r="D22" t="s">
        <v>15</v>
      </c>
      <c r="E22" s="1">
        <v>1683086</v>
      </c>
      <c r="F22">
        <v>0.08</v>
      </c>
      <c r="G22">
        <v>25</v>
      </c>
      <c r="H22" t="s">
        <v>1788</v>
      </c>
      <c r="I22">
        <v>3</v>
      </c>
      <c r="J22" s="1" t="s">
        <v>15</v>
      </c>
    </row>
    <row r="23" spans="1:10" x14ac:dyDescent="0.3">
      <c r="A23">
        <v>22</v>
      </c>
      <c r="B23" t="s">
        <v>1809</v>
      </c>
      <c r="C23" t="s">
        <v>1788</v>
      </c>
      <c r="D23" t="s">
        <v>15</v>
      </c>
      <c r="E23" s="1">
        <v>2136078</v>
      </c>
      <c r="F23">
        <v>0.113</v>
      </c>
      <c r="G23">
        <v>15</v>
      </c>
      <c r="H23" t="s">
        <v>74</v>
      </c>
      <c r="I23">
        <v>15</v>
      </c>
      <c r="J23" s="1" t="s">
        <v>75</v>
      </c>
    </row>
    <row r="24" spans="1:10" x14ac:dyDescent="0.3">
      <c r="A24">
        <v>23</v>
      </c>
      <c r="B24" t="s">
        <v>1810</v>
      </c>
      <c r="C24" t="s">
        <v>1788</v>
      </c>
      <c r="D24" t="s">
        <v>77</v>
      </c>
      <c r="E24" s="1">
        <v>953220</v>
      </c>
      <c r="F24">
        <v>0.112</v>
      </c>
      <c r="G24">
        <v>30</v>
      </c>
      <c r="H24" t="s">
        <v>78</v>
      </c>
      <c r="I24">
        <v>8</v>
      </c>
      <c r="J24" s="1" t="s">
        <v>79</v>
      </c>
    </row>
    <row r="25" spans="1:10" x14ac:dyDescent="0.3">
      <c r="A25">
        <v>24</v>
      </c>
      <c r="B25" t="s">
        <v>1811</v>
      </c>
      <c r="C25" t="s">
        <v>1788</v>
      </c>
      <c r="D25" t="s">
        <v>15</v>
      </c>
      <c r="E25" s="1">
        <v>2460921</v>
      </c>
      <c r="F25">
        <v>0.11600000000000001</v>
      </c>
      <c r="G25">
        <v>30</v>
      </c>
      <c r="H25" t="s">
        <v>81</v>
      </c>
      <c r="I25">
        <v>11</v>
      </c>
      <c r="J25" s="1" t="s">
        <v>15</v>
      </c>
    </row>
    <row r="26" spans="1:10" x14ac:dyDescent="0.3">
      <c r="A26">
        <v>25</v>
      </c>
      <c r="B26" t="s">
        <v>1812</v>
      </c>
      <c r="C26" t="s">
        <v>1788</v>
      </c>
      <c r="D26" t="s">
        <v>83</v>
      </c>
      <c r="E26" s="1">
        <v>966502</v>
      </c>
      <c r="F26">
        <v>8.6999999999999994E-2</v>
      </c>
      <c r="G26">
        <v>15</v>
      </c>
      <c r="H26" t="s">
        <v>84</v>
      </c>
      <c r="I26">
        <v>6</v>
      </c>
      <c r="J26" s="1" t="s">
        <v>15</v>
      </c>
    </row>
    <row r="27" spans="1:10" x14ac:dyDescent="0.3">
      <c r="A27">
        <v>26</v>
      </c>
      <c r="B27" t="s">
        <v>1813</v>
      </c>
      <c r="C27" t="s">
        <v>11</v>
      </c>
      <c r="D27" t="s">
        <v>86</v>
      </c>
      <c r="E27" s="1">
        <v>2142189</v>
      </c>
      <c r="F27">
        <v>9.7000000000000003E-2</v>
      </c>
      <c r="G27">
        <v>30</v>
      </c>
      <c r="H27" t="s">
        <v>1788</v>
      </c>
      <c r="I27">
        <v>2</v>
      </c>
      <c r="J27" s="1" t="s">
        <v>15</v>
      </c>
    </row>
    <row r="28" spans="1:10" x14ac:dyDescent="0.3">
      <c r="A28">
        <v>27</v>
      </c>
      <c r="B28" t="s">
        <v>1814</v>
      </c>
      <c r="C28" t="s">
        <v>88</v>
      </c>
      <c r="D28" t="s">
        <v>89</v>
      </c>
      <c r="E28" s="1">
        <v>1567759</v>
      </c>
      <c r="F28">
        <v>8.6999999999999994E-2</v>
      </c>
      <c r="G28">
        <v>10</v>
      </c>
      <c r="H28" t="s">
        <v>1788</v>
      </c>
      <c r="I28">
        <v>15</v>
      </c>
      <c r="J28" s="1" t="s">
        <v>90</v>
      </c>
    </row>
    <row r="29" spans="1:10" x14ac:dyDescent="0.3">
      <c r="A29">
        <v>28</v>
      </c>
      <c r="B29" t="s">
        <v>1815</v>
      </c>
      <c r="C29" t="s">
        <v>11</v>
      </c>
      <c r="D29" t="s">
        <v>92</v>
      </c>
      <c r="E29" s="1">
        <v>1266870</v>
      </c>
      <c r="F29">
        <v>8.1000000000000003E-2</v>
      </c>
      <c r="G29">
        <v>30</v>
      </c>
      <c r="H29" t="s">
        <v>11</v>
      </c>
      <c r="I29">
        <v>7</v>
      </c>
      <c r="J29" s="1" t="s">
        <v>15</v>
      </c>
    </row>
    <row r="30" spans="1:10" x14ac:dyDescent="0.3">
      <c r="A30">
        <v>29</v>
      </c>
      <c r="B30" t="s">
        <v>1816</v>
      </c>
      <c r="C30" t="s">
        <v>88</v>
      </c>
      <c r="D30" t="s">
        <v>94</v>
      </c>
      <c r="E30" s="1">
        <v>548354</v>
      </c>
      <c r="F30">
        <v>0.104</v>
      </c>
      <c r="G30">
        <v>25</v>
      </c>
      <c r="H30" t="s">
        <v>95</v>
      </c>
      <c r="I30">
        <v>13</v>
      </c>
      <c r="J30" s="1" t="s">
        <v>96</v>
      </c>
    </row>
    <row r="31" spans="1:10" x14ac:dyDescent="0.3">
      <c r="A31">
        <v>30</v>
      </c>
      <c r="B31" t="s">
        <v>1817</v>
      </c>
      <c r="C31" t="s">
        <v>11</v>
      </c>
      <c r="D31" t="s">
        <v>98</v>
      </c>
      <c r="E31" s="1">
        <v>2121281</v>
      </c>
      <c r="F31">
        <v>0.10199999999999999</v>
      </c>
      <c r="G31">
        <v>25</v>
      </c>
      <c r="H31" t="s">
        <v>99</v>
      </c>
      <c r="I31">
        <v>11</v>
      </c>
      <c r="J31" s="1" t="s">
        <v>15</v>
      </c>
    </row>
    <row r="32" spans="1:10" x14ac:dyDescent="0.3">
      <c r="A32">
        <v>31</v>
      </c>
      <c r="B32" t="s">
        <v>1818</v>
      </c>
      <c r="C32" t="s">
        <v>1788</v>
      </c>
      <c r="D32" t="s">
        <v>15</v>
      </c>
      <c r="E32" s="1">
        <v>2028569</v>
      </c>
      <c r="F32">
        <v>9.2999999999999999E-2</v>
      </c>
      <c r="G32">
        <v>10</v>
      </c>
      <c r="H32" t="s">
        <v>101</v>
      </c>
      <c r="I32">
        <v>3</v>
      </c>
      <c r="J32" s="1" t="s">
        <v>15</v>
      </c>
    </row>
    <row r="33" spans="1:10" x14ac:dyDescent="0.3">
      <c r="A33">
        <v>32</v>
      </c>
      <c r="B33" t="s">
        <v>1819</v>
      </c>
      <c r="C33" t="s">
        <v>1788</v>
      </c>
      <c r="D33" t="s">
        <v>15</v>
      </c>
      <c r="E33" s="1">
        <v>1724304</v>
      </c>
      <c r="F33">
        <v>0.10100000000000001</v>
      </c>
      <c r="G33">
        <v>20</v>
      </c>
      <c r="H33" t="s">
        <v>11</v>
      </c>
      <c r="I33">
        <v>8</v>
      </c>
      <c r="J33" s="1" t="s">
        <v>103</v>
      </c>
    </row>
    <row r="34" spans="1:10" x14ac:dyDescent="0.3">
      <c r="A34">
        <v>33</v>
      </c>
      <c r="B34" t="s">
        <v>1820</v>
      </c>
      <c r="C34" t="s">
        <v>1788</v>
      </c>
      <c r="D34" t="s">
        <v>105</v>
      </c>
      <c r="E34" s="1">
        <v>1002007</v>
      </c>
      <c r="F34">
        <v>0.111</v>
      </c>
      <c r="G34">
        <v>15</v>
      </c>
      <c r="H34" t="s">
        <v>1788</v>
      </c>
      <c r="I34">
        <v>2</v>
      </c>
      <c r="J34" s="1" t="s">
        <v>15</v>
      </c>
    </row>
    <row r="35" spans="1:10" x14ac:dyDescent="0.3">
      <c r="A35">
        <v>34</v>
      </c>
      <c r="B35" t="s">
        <v>1821</v>
      </c>
      <c r="C35" t="s">
        <v>11</v>
      </c>
      <c r="D35" t="s">
        <v>107</v>
      </c>
      <c r="E35" s="1">
        <v>802293</v>
      </c>
      <c r="F35">
        <v>9.0999999999999998E-2</v>
      </c>
      <c r="G35">
        <v>10</v>
      </c>
      <c r="H35" t="s">
        <v>108</v>
      </c>
      <c r="I35">
        <v>13</v>
      </c>
      <c r="J35" s="1" t="s">
        <v>109</v>
      </c>
    </row>
    <row r="36" spans="1:10" x14ac:dyDescent="0.3">
      <c r="A36">
        <v>35</v>
      </c>
      <c r="B36" t="s">
        <v>1822</v>
      </c>
      <c r="C36" t="s">
        <v>1788</v>
      </c>
      <c r="D36" t="s">
        <v>15</v>
      </c>
      <c r="E36" s="1">
        <v>518851</v>
      </c>
      <c r="F36">
        <v>9.0999999999999998E-2</v>
      </c>
      <c r="G36">
        <v>20</v>
      </c>
      <c r="H36" t="s">
        <v>1788</v>
      </c>
      <c r="I36">
        <v>14</v>
      </c>
      <c r="J36" s="1" t="s">
        <v>111</v>
      </c>
    </row>
    <row r="37" spans="1:10" x14ac:dyDescent="0.3">
      <c r="A37">
        <v>36</v>
      </c>
      <c r="B37" t="s">
        <v>1823</v>
      </c>
      <c r="C37" t="s">
        <v>11</v>
      </c>
      <c r="D37" t="s">
        <v>113</v>
      </c>
      <c r="E37" s="1">
        <v>2462260</v>
      </c>
      <c r="F37">
        <v>0.104</v>
      </c>
      <c r="G37">
        <v>15</v>
      </c>
      <c r="H37" t="s">
        <v>1788</v>
      </c>
      <c r="I37">
        <v>10</v>
      </c>
      <c r="J37" s="1" t="s">
        <v>15</v>
      </c>
    </row>
    <row r="38" spans="1:10" x14ac:dyDescent="0.3">
      <c r="A38">
        <v>37</v>
      </c>
      <c r="B38" t="s">
        <v>1824</v>
      </c>
      <c r="C38" t="s">
        <v>1788</v>
      </c>
      <c r="D38" t="s">
        <v>115</v>
      </c>
      <c r="E38" s="1">
        <v>2018083</v>
      </c>
      <c r="F38">
        <v>8.2000000000000003E-2</v>
      </c>
      <c r="G38">
        <v>30</v>
      </c>
      <c r="H38" t="s">
        <v>11</v>
      </c>
      <c r="I38">
        <v>12</v>
      </c>
      <c r="J38" s="1" t="s">
        <v>116</v>
      </c>
    </row>
    <row r="39" spans="1:10" x14ac:dyDescent="0.3">
      <c r="A39">
        <v>38</v>
      </c>
      <c r="B39" t="s">
        <v>1825</v>
      </c>
      <c r="C39" t="s">
        <v>11</v>
      </c>
      <c r="D39" t="s">
        <v>15</v>
      </c>
      <c r="E39" s="1">
        <v>1789184</v>
      </c>
      <c r="F39">
        <v>0.114</v>
      </c>
      <c r="G39">
        <v>25</v>
      </c>
      <c r="H39" t="s">
        <v>1788</v>
      </c>
      <c r="I39">
        <v>7</v>
      </c>
      <c r="J39" s="1" t="s">
        <v>118</v>
      </c>
    </row>
    <row r="40" spans="1:10" x14ac:dyDescent="0.3">
      <c r="A40">
        <v>39</v>
      </c>
      <c r="B40" t="s">
        <v>1826</v>
      </c>
      <c r="C40" t="s">
        <v>120</v>
      </c>
      <c r="D40" t="s">
        <v>15</v>
      </c>
      <c r="E40" s="1">
        <v>1443572</v>
      </c>
      <c r="F40">
        <v>0.105</v>
      </c>
      <c r="G40">
        <v>10</v>
      </c>
      <c r="H40" t="s">
        <v>11</v>
      </c>
      <c r="I40">
        <v>5</v>
      </c>
      <c r="J40" s="1" t="s">
        <v>15</v>
      </c>
    </row>
    <row r="41" spans="1:10" x14ac:dyDescent="0.3">
      <c r="A41">
        <v>40</v>
      </c>
      <c r="B41" t="s">
        <v>1827</v>
      </c>
      <c r="C41" t="s">
        <v>11</v>
      </c>
      <c r="D41" t="s">
        <v>122</v>
      </c>
      <c r="E41" s="1">
        <v>2264948</v>
      </c>
      <c r="F41">
        <v>9.8000000000000004E-2</v>
      </c>
      <c r="G41">
        <v>15</v>
      </c>
      <c r="H41" t="s">
        <v>11</v>
      </c>
      <c r="I41">
        <v>15</v>
      </c>
      <c r="J41" s="1" t="s">
        <v>15</v>
      </c>
    </row>
    <row r="42" spans="1:10" x14ac:dyDescent="0.3">
      <c r="A42">
        <v>41</v>
      </c>
      <c r="B42" t="s">
        <v>1828</v>
      </c>
      <c r="C42" t="s">
        <v>1788</v>
      </c>
      <c r="D42" t="s">
        <v>124</v>
      </c>
      <c r="E42" s="1">
        <v>2415301</v>
      </c>
      <c r="F42">
        <v>0.114</v>
      </c>
      <c r="G42">
        <v>20</v>
      </c>
      <c r="H42" t="s">
        <v>125</v>
      </c>
      <c r="I42">
        <v>12</v>
      </c>
      <c r="J42" s="1" t="s">
        <v>15</v>
      </c>
    </row>
    <row r="43" spans="1:10" x14ac:dyDescent="0.3">
      <c r="A43">
        <v>42</v>
      </c>
      <c r="B43" t="s">
        <v>1829</v>
      </c>
      <c r="C43" t="s">
        <v>11</v>
      </c>
      <c r="D43" t="s">
        <v>127</v>
      </c>
      <c r="E43" s="1">
        <v>1363959</v>
      </c>
      <c r="F43">
        <v>9.8000000000000004E-2</v>
      </c>
      <c r="G43">
        <v>30</v>
      </c>
      <c r="H43" t="s">
        <v>11</v>
      </c>
      <c r="I43">
        <v>4</v>
      </c>
      <c r="J43" s="1" t="s">
        <v>15</v>
      </c>
    </row>
    <row r="44" spans="1:10" x14ac:dyDescent="0.3">
      <c r="A44">
        <v>43</v>
      </c>
      <c r="B44" t="s">
        <v>1830</v>
      </c>
      <c r="C44" t="s">
        <v>1788</v>
      </c>
      <c r="D44" t="s">
        <v>129</v>
      </c>
      <c r="E44" s="1">
        <v>1045403</v>
      </c>
      <c r="F44">
        <v>0.11799999999999999</v>
      </c>
      <c r="G44">
        <v>20</v>
      </c>
      <c r="H44" t="s">
        <v>11</v>
      </c>
      <c r="I44">
        <v>3</v>
      </c>
      <c r="J44" s="1" t="s">
        <v>15</v>
      </c>
    </row>
    <row r="45" spans="1:10" x14ac:dyDescent="0.3">
      <c r="A45">
        <v>44</v>
      </c>
      <c r="B45" t="s">
        <v>1831</v>
      </c>
      <c r="C45" t="s">
        <v>1788</v>
      </c>
      <c r="D45" t="s">
        <v>131</v>
      </c>
      <c r="E45" s="1">
        <v>1544810</v>
      </c>
      <c r="F45">
        <v>0.106</v>
      </c>
      <c r="G45">
        <v>20</v>
      </c>
      <c r="H45" t="s">
        <v>1788</v>
      </c>
      <c r="I45">
        <v>5</v>
      </c>
      <c r="J45" s="1" t="s">
        <v>15</v>
      </c>
    </row>
    <row r="46" spans="1:10" x14ac:dyDescent="0.3">
      <c r="A46">
        <v>45</v>
      </c>
      <c r="B46" t="s">
        <v>1832</v>
      </c>
      <c r="C46" t="s">
        <v>11</v>
      </c>
      <c r="D46" t="s">
        <v>133</v>
      </c>
      <c r="E46" s="1">
        <v>1255875</v>
      </c>
      <c r="F46">
        <v>0.112</v>
      </c>
      <c r="G46">
        <v>10</v>
      </c>
      <c r="H46" t="s">
        <v>1788</v>
      </c>
      <c r="I46">
        <v>10</v>
      </c>
      <c r="J46" s="1" t="s">
        <v>134</v>
      </c>
    </row>
    <row r="47" spans="1:10" x14ac:dyDescent="0.3">
      <c r="A47">
        <v>46</v>
      </c>
      <c r="B47" t="s">
        <v>1833</v>
      </c>
      <c r="C47" t="s">
        <v>11</v>
      </c>
      <c r="D47" t="s">
        <v>15</v>
      </c>
      <c r="E47" s="1">
        <v>1633009</v>
      </c>
      <c r="F47">
        <v>8.6999999999999994E-2</v>
      </c>
      <c r="G47">
        <v>20</v>
      </c>
      <c r="H47" t="s">
        <v>1788</v>
      </c>
      <c r="I47">
        <v>6</v>
      </c>
      <c r="J47" s="1" t="s">
        <v>136</v>
      </c>
    </row>
    <row r="48" spans="1:10" x14ac:dyDescent="0.3">
      <c r="A48">
        <v>47</v>
      </c>
      <c r="B48" t="s">
        <v>1834</v>
      </c>
      <c r="C48" t="s">
        <v>1788</v>
      </c>
      <c r="D48" t="s">
        <v>138</v>
      </c>
      <c r="E48" s="1">
        <v>1691084</v>
      </c>
      <c r="F48">
        <v>0.105</v>
      </c>
      <c r="G48">
        <v>20</v>
      </c>
      <c r="H48" t="s">
        <v>139</v>
      </c>
      <c r="I48">
        <v>4</v>
      </c>
      <c r="J48" s="1" t="s">
        <v>15</v>
      </c>
    </row>
    <row r="49" spans="1:10" x14ac:dyDescent="0.3">
      <c r="A49">
        <v>48</v>
      </c>
      <c r="B49" t="s">
        <v>1835</v>
      </c>
      <c r="C49" t="s">
        <v>141</v>
      </c>
      <c r="D49" t="s">
        <v>142</v>
      </c>
      <c r="E49" s="1">
        <v>2139945</v>
      </c>
      <c r="F49">
        <v>0.113</v>
      </c>
      <c r="G49">
        <v>20</v>
      </c>
      <c r="H49" t="s">
        <v>143</v>
      </c>
      <c r="I49">
        <v>6</v>
      </c>
      <c r="J49" s="1" t="s">
        <v>144</v>
      </c>
    </row>
    <row r="50" spans="1:10" x14ac:dyDescent="0.3">
      <c r="A50">
        <v>49</v>
      </c>
      <c r="B50" t="s">
        <v>1836</v>
      </c>
      <c r="C50" t="s">
        <v>11</v>
      </c>
      <c r="D50" t="s">
        <v>15</v>
      </c>
      <c r="E50" s="1">
        <v>716975</v>
      </c>
      <c r="F50">
        <v>8.3000000000000004E-2</v>
      </c>
      <c r="G50">
        <v>30</v>
      </c>
      <c r="H50" t="s">
        <v>1788</v>
      </c>
      <c r="I50">
        <v>3</v>
      </c>
      <c r="J50" s="1" t="s">
        <v>146</v>
      </c>
    </row>
    <row r="51" spans="1:10" x14ac:dyDescent="0.3">
      <c r="A51">
        <v>50</v>
      </c>
      <c r="B51" t="s">
        <v>1837</v>
      </c>
      <c r="C51" t="s">
        <v>11</v>
      </c>
      <c r="D51" t="s">
        <v>15</v>
      </c>
      <c r="E51" s="1">
        <v>844956</v>
      </c>
      <c r="F51">
        <v>0.114</v>
      </c>
      <c r="G51">
        <v>20</v>
      </c>
      <c r="H51" t="s">
        <v>1788</v>
      </c>
      <c r="I51">
        <v>5</v>
      </c>
      <c r="J51" s="1" t="s">
        <v>148</v>
      </c>
    </row>
    <row r="52" spans="1:10" x14ac:dyDescent="0.3">
      <c r="A52">
        <v>51</v>
      </c>
      <c r="B52" t="s">
        <v>1838</v>
      </c>
      <c r="C52" t="s">
        <v>11</v>
      </c>
      <c r="D52" t="s">
        <v>150</v>
      </c>
      <c r="E52" s="1">
        <v>1505074</v>
      </c>
      <c r="F52">
        <v>0.114</v>
      </c>
      <c r="G52">
        <v>20</v>
      </c>
      <c r="H52" t="s">
        <v>11</v>
      </c>
      <c r="I52">
        <v>5</v>
      </c>
      <c r="J52" s="1" t="s">
        <v>15</v>
      </c>
    </row>
    <row r="53" spans="1:10" x14ac:dyDescent="0.3">
      <c r="A53">
        <v>52</v>
      </c>
      <c r="B53" t="s">
        <v>1839</v>
      </c>
      <c r="C53" t="s">
        <v>88</v>
      </c>
      <c r="D53" t="s">
        <v>152</v>
      </c>
      <c r="E53" s="1">
        <v>2134312</v>
      </c>
      <c r="F53">
        <v>8.2000000000000003E-2</v>
      </c>
      <c r="G53">
        <v>25</v>
      </c>
      <c r="H53" t="s">
        <v>1788</v>
      </c>
      <c r="I53">
        <v>8</v>
      </c>
      <c r="J53" s="1" t="s">
        <v>15</v>
      </c>
    </row>
    <row r="54" spans="1:10" x14ac:dyDescent="0.3">
      <c r="A54">
        <v>53</v>
      </c>
      <c r="B54" t="s">
        <v>1840</v>
      </c>
      <c r="C54" t="s">
        <v>1788</v>
      </c>
      <c r="D54" t="s">
        <v>154</v>
      </c>
      <c r="E54" s="1">
        <v>788089</v>
      </c>
      <c r="F54">
        <v>8.7999999999999995E-2</v>
      </c>
      <c r="G54">
        <v>25</v>
      </c>
      <c r="H54" t="s">
        <v>1788</v>
      </c>
      <c r="I54">
        <v>2</v>
      </c>
      <c r="J54" s="1" t="s">
        <v>15</v>
      </c>
    </row>
    <row r="55" spans="1:10" x14ac:dyDescent="0.3">
      <c r="A55">
        <v>54</v>
      </c>
      <c r="B55" t="s">
        <v>1841</v>
      </c>
      <c r="C55" t="s">
        <v>156</v>
      </c>
      <c r="D55" t="s">
        <v>15</v>
      </c>
      <c r="E55" s="1">
        <v>680087</v>
      </c>
      <c r="F55">
        <v>9.9000000000000005E-2</v>
      </c>
      <c r="G55">
        <v>25</v>
      </c>
      <c r="H55" t="s">
        <v>11</v>
      </c>
      <c r="I55">
        <v>7</v>
      </c>
      <c r="J55" s="1" t="s">
        <v>15</v>
      </c>
    </row>
    <row r="56" spans="1:10" x14ac:dyDescent="0.3">
      <c r="A56">
        <v>55</v>
      </c>
      <c r="B56" t="s">
        <v>1842</v>
      </c>
      <c r="C56" t="s">
        <v>158</v>
      </c>
      <c r="D56" t="s">
        <v>15</v>
      </c>
      <c r="E56" s="1">
        <v>1077707</v>
      </c>
      <c r="F56">
        <v>9.9000000000000005E-2</v>
      </c>
      <c r="G56">
        <v>25</v>
      </c>
      <c r="H56" t="s">
        <v>11</v>
      </c>
      <c r="I56">
        <v>2</v>
      </c>
      <c r="J56" s="1" t="s">
        <v>15</v>
      </c>
    </row>
    <row r="57" spans="1:10" x14ac:dyDescent="0.3">
      <c r="A57">
        <v>56</v>
      </c>
      <c r="B57" t="s">
        <v>1843</v>
      </c>
      <c r="C57" t="s">
        <v>160</v>
      </c>
      <c r="D57" t="s">
        <v>161</v>
      </c>
      <c r="E57" s="1">
        <v>1838488</v>
      </c>
      <c r="F57">
        <v>0.11</v>
      </c>
      <c r="G57">
        <v>15</v>
      </c>
      <c r="H57" t="s">
        <v>1788</v>
      </c>
      <c r="I57">
        <v>10</v>
      </c>
      <c r="J57" s="1" t="s">
        <v>162</v>
      </c>
    </row>
    <row r="58" spans="1:10" x14ac:dyDescent="0.3">
      <c r="A58">
        <v>57</v>
      </c>
      <c r="B58" t="s">
        <v>1844</v>
      </c>
      <c r="C58" t="s">
        <v>164</v>
      </c>
      <c r="D58" t="s">
        <v>165</v>
      </c>
      <c r="E58" s="1">
        <v>981630</v>
      </c>
      <c r="F58">
        <v>8.4000000000000005E-2</v>
      </c>
      <c r="G58">
        <v>10</v>
      </c>
      <c r="H58" t="s">
        <v>11</v>
      </c>
      <c r="I58">
        <v>8</v>
      </c>
      <c r="J58" s="1" t="s">
        <v>166</v>
      </c>
    </row>
    <row r="59" spans="1:10" x14ac:dyDescent="0.3">
      <c r="A59">
        <v>58</v>
      </c>
      <c r="B59" t="s">
        <v>1845</v>
      </c>
      <c r="C59" t="s">
        <v>1788</v>
      </c>
      <c r="D59" t="s">
        <v>168</v>
      </c>
      <c r="E59" s="1">
        <v>1942229</v>
      </c>
      <c r="F59">
        <v>9.1999999999999998E-2</v>
      </c>
      <c r="G59">
        <v>15</v>
      </c>
      <c r="H59" t="s">
        <v>1788</v>
      </c>
      <c r="I59">
        <v>13</v>
      </c>
      <c r="J59" s="1" t="s">
        <v>15</v>
      </c>
    </row>
    <row r="60" spans="1:10" x14ac:dyDescent="0.3">
      <c r="A60">
        <v>59</v>
      </c>
      <c r="B60" t="s">
        <v>1846</v>
      </c>
      <c r="C60" t="s">
        <v>11</v>
      </c>
      <c r="D60" t="s">
        <v>170</v>
      </c>
      <c r="E60" s="1">
        <v>1817556</v>
      </c>
      <c r="F60">
        <v>0.112</v>
      </c>
      <c r="G60">
        <v>10</v>
      </c>
      <c r="H60" t="s">
        <v>11</v>
      </c>
      <c r="I60">
        <v>11</v>
      </c>
      <c r="J60" s="1" t="s">
        <v>15</v>
      </c>
    </row>
    <row r="61" spans="1:10" x14ac:dyDescent="0.3">
      <c r="A61">
        <v>60</v>
      </c>
      <c r="B61" t="s">
        <v>1847</v>
      </c>
      <c r="C61" t="s">
        <v>1788</v>
      </c>
      <c r="D61" t="s">
        <v>15</v>
      </c>
      <c r="E61" s="1">
        <v>769207</v>
      </c>
      <c r="F61">
        <v>0.11700000000000001</v>
      </c>
      <c r="G61">
        <v>30</v>
      </c>
      <c r="H61" t="s">
        <v>11</v>
      </c>
      <c r="I61">
        <v>6</v>
      </c>
      <c r="J61" s="1" t="s">
        <v>15</v>
      </c>
    </row>
    <row r="62" spans="1:10" x14ac:dyDescent="0.3">
      <c r="A62">
        <v>61</v>
      </c>
      <c r="B62" t="s">
        <v>1848</v>
      </c>
      <c r="C62" t="s">
        <v>1788</v>
      </c>
      <c r="D62" t="s">
        <v>173</v>
      </c>
      <c r="E62" s="1">
        <v>1195398</v>
      </c>
      <c r="F62">
        <v>8.6999999999999994E-2</v>
      </c>
      <c r="G62">
        <v>25</v>
      </c>
      <c r="H62" t="s">
        <v>1788</v>
      </c>
      <c r="I62">
        <v>1</v>
      </c>
      <c r="J62" s="1" t="s">
        <v>15</v>
      </c>
    </row>
    <row r="63" spans="1:10" x14ac:dyDescent="0.3">
      <c r="A63">
        <v>62</v>
      </c>
      <c r="B63" t="s">
        <v>1849</v>
      </c>
      <c r="C63" t="s">
        <v>1788</v>
      </c>
      <c r="D63" t="s">
        <v>175</v>
      </c>
      <c r="E63" s="1">
        <v>1594738</v>
      </c>
      <c r="F63">
        <v>9.2999999999999999E-2</v>
      </c>
      <c r="G63">
        <v>15</v>
      </c>
      <c r="H63" t="s">
        <v>1788</v>
      </c>
      <c r="I63">
        <v>10</v>
      </c>
      <c r="J63" s="1" t="s">
        <v>176</v>
      </c>
    </row>
    <row r="64" spans="1:10" x14ac:dyDescent="0.3">
      <c r="A64">
        <v>63</v>
      </c>
      <c r="B64" t="s">
        <v>1850</v>
      </c>
      <c r="C64" t="s">
        <v>11</v>
      </c>
      <c r="D64" t="s">
        <v>15</v>
      </c>
      <c r="E64" s="1">
        <v>948824</v>
      </c>
      <c r="F64">
        <v>0.11899999999999999</v>
      </c>
      <c r="G64">
        <v>10</v>
      </c>
      <c r="H64" t="s">
        <v>11</v>
      </c>
      <c r="I64">
        <v>0</v>
      </c>
      <c r="J64" s="1" t="s">
        <v>15</v>
      </c>
    </row>
    <row r="65" spans="1:10" x14ac:dyDescent="0.3">
      <c r="A65">
        <v>64</v>
      </c>
      <c r="B65" t="s">
        <v>1851</v>
      </c>
      <c r="C65" t="s">
        <v>1788</v>
      </c>
      <c r="D65" t="s">
        <v>179</v>
      </c>
      <c r="E65" s="1">
        <v>2271903</v>
      </c>
      <c r="F65">
        <v>0.12</v>
      </c>
      <c r="G65">
        <v>30</v>
      </c>
      <c r="H65" t="s">
        <v>11</v>
      </c>
      <c r="I65">
        <v>13</v>
      </c>
      <c r="J65" s="1" t="s">
        <v>180</v>
      </c>
    </row>
    <row r="66" spans="1:10" x14ac:dyDescent="0.3">
      <c r="A66">
        <v>65</v>
      </c>
      <c r="B66" t="s">
        <v>1852</v>
      </c>
      <c r="C66" t="s">
        <v>11</v>
      </c>
      <c r="D66" t="s">
        <v>182</v>
      </c>
      <c r="E66" s="1">
        <v>1357861</v>
      </c>
      <c r="F66">
        <v>0.10100000000000001</v>
      </c>
      <c r="G66">
        <v>10</v>
      </c>
      <c r="H66" t="s">
        <v>11</v>
      </c>
      <c r="I66">
        <v>4</v>
      </c>
      <c r="J66" s="1" t="s">
        <v>183</v>
      </c>
    </row>
    <row r="67" spans="1:10" x14ac:dyDescent="0.3">
      <c r="A67">
        <v>66</v>
      </c>
      <c r="B67" t="s">
        <v>1853</v>
      </c>
      <c r="C67" t="s">
        <v>11</v>
      </c>
      <c r="D67" t="s">
        <v>185</v>
      </c>
      <c r="E67" s="1">
        <v>1084091</v>
      </c>
      <c r="F67">
        <v>8.1000000000000003E-2</v>
      </c>
      <c r="G67">
        <v>10</v>
      </c>
      <c r="H67" t="s">
        <v>1788</v>
      </c>
      <c r="I67">
        <v>1</v>
      </c>
      <c r="J67" s="1" t="s">
        <v>186</v>
      </c>
    </row>
    <row r="68" spans="1:10" x14ac:dyDescent="0.3">
      <c r="A68">
        <v>67</v>
      </c>
      <c r="B68" t="s">
        <v>1854</v>
      </c>
      <c r="C68" t="s">
        <v>1788</v>
      </c>
      <c r="D68" t="s">
        <v>188</v>
      </c>
      <c r="E68" s="1">
        <v>2406093</v>
      </c>
      <c r="F68">
        <v>0.11600000000000001</v>
      </c>
      <c r="G68">
        <v>15</v>
      </c>
      <c r="H68" t="s">
        <v>189</v>
      </c>
      <c r="I68">
        <v>11</v>
      </c>
      <c r="J68" s="1" t="s">
        <v>190</v>
      </c>
    </row>
    <row r="69" spans="1:10" x14ac:dyDescent="0.3">
      <c r="A69">
        <v>68</v>
      </c>
      <c r="B69" t="s">
        <v>1855</v>
      </c>
      <c r="C69" t="s">
        <v>11</v>
      </c>
      <c r="D69" t="s">
        <v>192</v>
      </c>
      <c r="E69" s="1">
        <v>793145</v>
      </c>
      <c r="F69">
        <v>0.113</v>
      </c>
      <c r="G69">
        <v>25</v>
      </c>
      <c r="H69" t="s">
        <v>1788</v>
      </c>
      <c r="I69">
        <v>15</v>
      </c>
      <c r="J69" s="1" t="s">
        <v>193</v>
      </c>
    </row>
    <row r="70" spans="1:10" x14ac:dyDescent="0.3">
      <c r="A70">
        <v>69</v>
      </c>
      <c r="B70" t="s">
        <v>1856</v>
      </c>
      <c r="C70" t="s">
        <v>1788</v>
      </c>
      <c r="D70" t="s">
        <v>195</v>
      </c>
      <c r="E70" s="1">
        <v>934651</v>
      </c>
      <c r="F70">
        <v>9.8000000000000004E-2</v>
      </c>
      <c r="G70">
        <v>30</v>
      </c>
      <c r="H70" t="s">
        <v>1788</v>
      </c>
      <c r="I70">
        <v>11</v>
      </c>
      <c r="J70" s="1" t="s">
        <v>15</v>
      </c>
    </row>
    <row r="71" spans="1:10" x14ac:dyDescent="0.3">
      <c r="A71">
        <v>70</v>
      </c>
      <c r="B71" t="s">
        <v>1857</v>
      </c>
      <c r="C71" t="s">
        <v>1788</v>
      </c>
      <c r="D71" t="s">
        <v>197</v>
      </c>
      <c r="E71" s="1">
        <v>1271820</v>
      </c>
      <c r="F71">
        <v>0.108</v>
      </c>
      <c r="G71">
        <v>15</v>
      </c>
      <c r="H71" t="s">
        <v>11</v>
      </c>
      <c r="I71">
        <v>4</v>
      </c>
      <c r="J71" s="1" t="s">
        <v>15</v>
      </c>
    </row>
    <row r="72" spans="1:10" x14ac:dyDescent="0.3">
      <c r="A72">
        <v>71</v>
      </c>
      <c r="B72" t="s">
        <v>1858</v>
      </c>
      <c r="C72" t="s">
        <v>1788</v>
      </c>
      <c r="D72" t="s">
        <v>199</v>
      </c>
      <c r="E72" s="1">
        <v>833547</v>
      </c>
      <c r="F72">
        <v>9.2999999999999999E-2</v>
      </c>
      <c r="G72">
        <v>15</v>
      </c>
      <c r="H72" t="s">
        <v>1788</v>
      </c>
      <c r="I72">
        <v>13</v>
      </c>
      <c r="J72" s="1" t="s">
        <v>200</v>
      </c>
    </row>
    <row r="73" spans="1:10" x14ac:dyDescent="0.3">
      <c r="A73">
        <v>72</v>
      </c>
      <c r="B73" t="s">
        <v>1859</v>
      </c>
      <c r="C73" t="s">
        <v>202</v>
      </c>
      <c r="D73" t="s">
        <v>203</v>
      </c>
      <c r="E73" s="1">
        <v>778304</v>
      </c>
      <c r="F73">
        <v>9.9000000000000005E-2</v>
      </c>
      <c r="G73">
        <v>10</v>
      </c>
      <c r="H73" t="s">
        <v>204</v>
      </c>
      <c r="I73">
        <v>14</v>
      </c>
      <c r="J73" s="1" t="s">
        <v>205</v>
      </c>
    </row>
    <row r="74" spans="1:10" x14ac:dyDescent="0.3">
      <c r="A74">
        <v>73</v>
      </c>
      <c r="B74" t="s">
        <v>1860</v>
      </c>
      <c r="C74" t="s">
        <v>120</v>
      </c>
      <c r="D74" t="s">
        <v>207</v>
      </c>
      <c r="E74" s="1">
        <v>514771</v>
      </c>
      <c r="F74">
        <v>9.8000000000000004E-2</v>
      </c>
      <c r="G74">
        <v>30</v>
      </c>
      <c r="H74" t="s">
        <v>1788</v>
      </c>
      <c r="I74">
        <v>10</v>
      </c>
      <c r="J74" s="1" t="s">
        <v>15</v>
      </c>
    </row>
    <row r="75" spans="1:10" x14ac:dyDescent="0.3">
      <c r="A75">
        <v>74</v>
      </c>
      <c r="B75" t="s">
        <v>1861</v>
      </c>
      <c r="C75" t="s">
        <v>209</v>
      </c>
      <c r="D75" t="s">
        <v>210</v>
      </c>
      <c r="E75" s="1">
        <v>695953</v>
      </c>
      <c r="F75">
        <v>9.7000000000000003E-2</v>
      </c>
      <c r="G75">
        <v>10</v>
      </c>
      <c r="H75" t="s">
        <v>1788</v>
      </c>
      <c r="I75">
        <v>14</v>
      </c>
      <c r="J75" s="1" t="s">
        <v>211</v>
      </c>
    </row>
    <row r="76" spans="1:10" x14ac:dyDescent="0.3">
      <c r="A76">
        <v>75</v>
      </c>
      <c r="B76" t="s">
        <v>1862</v>
      </c>
      <c r="C76" t="s">
        <v>11</v>
      </c>
      <c r="D76" t="s">
        <v>15</v>
      </c>
      <c r="E76" s="1">
        <v>1215286</v>
      </c>
      <c r="F76">
        <v>9.1999999999999998E-2</v>
      </c>
      <c r="G76">
        <v>30</v>
      </c>
      <c r="H76" t="s">
        <v>11</v>
      </c>
      <c r="I76">
        <v>3</v>
      </c>
      <c r="J76" s="1" t="s">
        <v>213</v>
      </c>
    </row>
    <row r="77" spans="1:10" x14ac:dyDescent="0.3">
      <c r="A77">
        <v>76</v>
      </c>
      <c r="B77" t="s">
        <v>1863</v>
      </c>
      <c r="C77" t="s">
        <v>215</v>
      </c>
      <c r="D77" t="s">
        <v>15</v>
      </c>
      <c r="E77" s="1">
        <v>974831</v>
      </c>
      <c r="F77">
        <v>9.5000000000000001E-2</v>
      </c>
      <c r="G77">
        <v>25</v>
      </c>
      <c r="H77" t="s">
        <v>11</v>
      </c>
      <c r="I77">
        <v>4</v>
      </c>
      <c r="J77" s="1" t="s">
        <v>15</v>
      </c>
    </row>
    <row r="78" spans="1:10" x14ac:dyDescent="0.3">
      <c r="A78">
        <v>77</v>
      </c>
      <c r="B78" t="s">
        <v>1864</v>
      </c>
      <c r="C78" t="s">
        <v>217</v>
      </c>
      <c r="D78" t="s">
        <v>15</v>
      </c>
      <c r="E78" s="1">
        <v>1833176</v>
      </c>
      <c r="F78">
        <v>0.11700000000000001</v>
      </c>
      <c r="G78">
        <v>15</v>
      </c>
      <c r="H78" t="s">
        <v>218</v>
      </c>
      <c r="I78">
        <v>5</v>
      </c>
      <c r="J78" s="1" t="s">
        <v>15</v>
      </c>
    </row>
    <row r="79" spans="1:10" x14ac:dyDescent="0.3">
      <c r="A79">
        <v>78</v>
      </c>
      <c r="B79" t="s">
        <v>1865</v>
      </c>
      <c r="C79" t="s">
        <v>1788</v>
      </c>
      <c r="D79" t="s">
        <v>220</v>
      </c>
      <c r="E79" s="1">
        <v>1394406</v>
      </c>
      <c r="F79">
        <v>8.3000000000000004E-2</v>
      </c>
      <c r="G79">
        <v>20</v>
      </c>
      <c r="H79" t="s">
        <v>11</v>
      </c>
      <c r="I79">
        <v>8</v>
      </c>
      <c r="J79" s="1" t="s">
        <v>15</v>
      </c>
    </row>
    <row r="80" spans="1:10" x14ac:dyDescent="0.3">
      <c r="A80">
        <v>79</v>
      </c>
      <c r="B80" t="s">
        <v>1866</v>
      </c>
      <c r="C80" t="s">
        <v>1788</v>
      </c>
      <c r="D80" t="s">
        <v>222</v>
      </c>
      <c r="E80" s="1">
        <v>1652588</v>
      </c>
      <c r="F80">
        <v>8.3000000000000004E-2</v>
      </c>
      <c r="G80">
        <v>15</v>
      </c>
      <c r="H80" t="s">
        <v>1788</v>
      </c>
      <c r="I80">
        <v>1</v>
      </c>
      <c r="J80" s="1" t="s">
        <v>15</v>
      </c>
    </row>
    <row r="81" spans="1:10" x14ac:dyDescent="0.3">
      <c r="A81">
        <v>80</v>
      </c>
      <c r="B81" t="s">
        <v>1867</v>
      </c>
      <c r="C81" t="s">
        <v>1788</v>
      </c>
      <c r="D81" t="s">
        <v>224</v>
      </c>
      <c r="E81" s="1">
        <v>1894998</v>
      </c>
      <c r="F81">
        <v>9.6000000000000002E-2</v>
      </c>
      <c r="G81">
        <v>25</v>
      </c>
      <c r="H81" t="s">
        <v>11</v>
      </c>
      <c r="I81">
        <v>14</v>
      </c>
      <c r="J81" s="1" t="s">
        <v>15</v>
      </c>
    </row>
    <row r="82" spans="1:10" x14ac:dyDescent="0.3">
      <c r="A82">
        <v>81</v>
      </c>
      <c r="B82" t="s">
        <v>1868</v>
      </c>
      <c r="C82" t="s">
        <v>1788</v>
      </c>
      <c r="D82" t="s">
        <v>226</v>
      </c>
      <c r="E82" s="1">
        <v>1308618</v>
      </c>
      <c r="F82">
        <v>8.7999999999999995E-2</v>
      </c>
      <c r="G82">
        <v>20</v>
      </c>
      <c r="H82" t="s">
        <v>11</v>
      </c>
      <c r="I82">
        <v>9</v>
      </c>
      <c r="J82" s="1" t="s">
        <v>15</v>
      </c>
    </row>
    <row r="83" spans="1:10" x14ac:dyDescent="0.3">
      <c r="A83">
        <v>82</v>
      </c>
      <c r="B83" t="s">
        <v>1869</v>
      </c>
      <c r="C83" t="s">
        <v>59</v>
      </c>
      <c r="D83" t="s">
        <v>228</v>
      </c>
      <c r="E83" s="1">
        <v>2383165</v>
      </c>
      <c r="F83">
        <v>8.5999999999999993E-2</v>
      </c>
      <c r="G83">
        <v>20</v>
      </c>
      <c r="H83" t="s">
        <v>229</v>
      </c>
      <c r="I83">
        <v>11</v>
      </c>
      <c r="J83" s="1" t="s">
        <v>15</v>
      </c>
    </row>
    <row r="84" spans="1:10" x14ac:dyDescent="0.3">
      <c r="A84">
        <v>83</v>
      </c>
      <c r="B84" t="s">
        <v>1870</v>
      </c>
      <c r="C84" t="s">
        <v>1788</v>
      </c>
      <c r="D84" t="s">
        <v>231</v>
      </c>
      <c r="E84" s="1">
        <v>940236</v>
      </c>
      <c r="F84">
        <v>8.3000000000000004E-2</v>
      </c>
      <c r="G84">
        <v>25</v>
      </c>
      <c r="H84" t="s">
        <v>1788</v>
      </c>
      <c r="I84">
        <v>14</v>
      </c>
      <c r="J84" s="1" t="s">
        <v>232</v>
      </c>
    </row>
    <row r="85" spans="1:10" x14ac:dyDescent="0.3">
      <c r="A85">
        <v>84</v>
      </c>
      <c r="B85" t="s">
        <v>1871</v>
      </c>
      <c r="C85" t="s">
        <v>32</v>
      </c>
      <c r="D85" t="s">
        <v>234</v>
      </c>
      <c r="E85" s="1">
        <v>876592</v>
      </c>
      <c r="F85">
        <v>8.5999999999999993E-2</v>
      </c>
      <c r="G85">
        <v>30</v>
      </c>
      <c r="H85" t="s">
        <v>235</v>
      </c>
      <c r="I85">
        <v>7</v>
      </c>
      <c r="J85" s="1" t="s">
        <v>15</v>
      </c>
    </row>
    <row r="86" spans="1:10" x14ac:dyDescent="0.3">
      <c r="A86">
        <v>85</v>
      </c>
      <c r="B86" t="s">
        <v>1872</v>
      </c>
      <c r="C86" t="s">
        <v>237</v>
      </c>
      <c r="D86" t="s">
        <v>15</v>
      </c>
      <c r="E86" s="1">
        <v>1389133</v>
      </c>
      <c r="F86">
        <v>9.8000000000000004E-2</v>
      </c>
      <c r="G86">
        <v>20</v>
      </c>
      <c r="H86" t="s">
        <v>238</v>
      </c>
      <c r="I86">
        <v>0</v>
      </c>
      <c r="J86" s="1" t="s">
        <v>239</v>
      </c>
    </row>
    <row r="87" spans="1:10" x14ac:dyDescent="0.3">
      <c r="A87">
        <v>86</v>
      </c>
      <c r="B87" t="s">
        <v>1873</v>
      </c>
      <c r="C87" t="s">
        <v>88</v>
      </c>
      <c r="D87" t="s">
        <v>241</v>
      </c>
      <c r="E87" s="1">
        <v>1414494</v>
      </c>
      <c r="F87">
        <v>9.7000000000000003E-2</v>
      </c>
      <c r="G87">
        <v>15</v>
      </c>
      <c r="H87" t="s">
        <v>242</v>
      </c>
      <c r="I87">
        <v>4</v>
      </c>
      <c r="J87" s="1" t="s">
        <v>15</v>
      </c>
    </row>
    <row r="88" spans="1:10" x14ac:dyDescent="0.3">
      <c r="A88">
        <v>87</v>
      </c>
      <c r="B88" t="s">
        <v>1874</v>
      </c>
      <c r="C88" t="s">
        <v>11</v>
      </c>
      <c r="D88" t="s">
        <v>244</v>
      </c>
      <c r="E88" s="1">
        <v>1703151</v>
      </c>
      <c r="F88">
        <v>9.4E-2</v>
      </c>
      <c r="G88">
        <v>20</v>
      </c>
      <c r="H88" t="s">
        <v>11</v>
      </c>
      <c r="I88">
        <v>8</v>
      </c>
      <c r="J88" s="1" t="s">
        <v>245</v>
      </c>
    </row>
    <row r="89" spans="1:10" x14ac:dyDescent="0.3">
      <c r="A89">
        <v>88</v>
      </c>
      <c r="B89" t="s">
        <v>1875</v>
      </c>
      <c r="C89" t="s">
        <v>11</v>
      </c>
      <c r="D89" t="s">
        <v>247</v>
      </c>
      <c r="E89" s="1">
        <v>1062304</v>
      </c>
      <c r="F89">
        <v>0.109</v>
      </c>
      <c r="G89">
        <v>25</v>
      </c>
      <c r="H89" t="s">
        <v>1788</v>
      </c>
      <c r="I89">
        <v>7</v>
      </c>
      <c r="J89" s="1" t="s">
        <v>248</v>
      </c>
    </row>
    <row r="90" spans="1:10" x14ac:dyDescent="0.3">
      <c r="A90">
        <v>89</v>
      </c>
      <c r="B90" t="s">
        <v>1876</v>
      </c>
      <c r="C90" t="s">
        <v>1788</v>
      </c>
      <c r="D90" t="s">
        <v>15</v>
      </c>
      <c r="E90" s="1">
        <v>2343933</v>
      </c>
      <c r="F90">
        <v>8.3000000000000004E-2</v>
      </c>
      <c r="G90">
        <v>20</v>
      </c>
      <c r="H90" t="s">
        <v>11</v>
      </c>
      <c r="I90">
        <v>5</v>
      </c>
      <c r="J90" s="1" t="s">
        <v>250</v>
      </c>
    </row>
    <row r="91" spans="1:10" x14ac:dyDescent="0.3">
      <c r="A91">
        <v>90</v>
      </c>
      <c r="B91" t="s">
        <v>1877</v>
      </c>
      <c r="C91" t="s">
        <v>59</v>
      </c>
      <c r="D91" t="s">
        <v>252</v>
      </c>
      <c r="E91" s="1">
        <v>661968</v>
      </c>
      <c r="F91">
        <v>0.11899999999999999</v>
      </c>
      <c r="G91">
        <v>20</v>
      </c>
      <c r="H91" t="s">
        <v>253</v>
      </c>
      <c r="I91">
        <v>13</v>
      </c>
      <c r="J91" s="1" t="s">
        <v>15</v>
      </c>
    </row>
    <row r="92" spans="1:10" x14ac:dyDescent="0.3">
      <c r="A92">
        <v>91</v>
      </c>
      <c r="B92" t="s">
        <v>1878</v>
      </c>
      <c r="C92" t="s">
        <v>1788</v>
      </c>
      <c r="D92" t="s">
        <v>15</v>
      </c>
      <c r="E92" s="1">
        <v>1025549</v>
      </c>
      <c r="F92">
        <v>0.112</v>
      </c>
      <c r="G92">
        <v>25</v>
      </c>
      <c r="H92" t="s">
        <v>1788</v>
      </c>
      <c r="I92">
        <v>0</v>
      </c>
      <c r="J92" s="1" t="s">
        <v>255</v>
      </c>
    </row>
    <row r="93" spans="1:10" x14ac:dyDescent="0.3">
      <c r="A93">
        <v>92</v>
      </c>
      <c r="B93" t="s">
        <v>1879</v>
      </c>
      <c r="C93" t="s">
        <v>11</v>
      </c>
      <c r="D93" t="s">
        <v>257</v>
      </c>
      <c r="E93" s="1">
        <v>709468</v>
      </c>
      <c r="F93">
        <v>0.11799999999999999</v>
      </c>
      <c r="G93">
        <v>10</v>
      </c>
      <c r="H93" t="s">
        <v>1788</v>
      </c>
      <c r="I93">
        <v>13</v>
      </c>
      <c r="J93" s="1" t="s">
        <v>15</v>
      </c>
    </row>
    <row r="94" spans="1:10" x14ac:dyDescent="0.3">
      <c r="A94">
        <v>93</v>
      </c>
      <c r="B94" t="s">
        <v>1880</v>
      </c>
      <c r="C94" t="s">
        <v>11</v>
      </c>
      <c r="D94" t="s">
        <v>259</v>
      </c>
      <c r="E94" s="1">
        <v>715492</v>
      </c>
      <c r="F94">
        <v>8.8999999999999996E-2</v>
      </c>
      <c r="G94">
        <v>15</v>
      </c>
      <c r="H94" t="s">
        <v>11</v>
      </c>
      <c r="I94">
        <v>11</v>
      </c>
      <c r="J94" s="1" t="s">
        <v>260</v>
      </c>
    </row>
    <row r="95" spans="1:10" x14ac:dyDescent="0.3">
      <c r="A95">
        <v>94</v>
      </c>
      <c r="B95" t="s">
        <v>1881</v>
      </c>
      <c r="C95" t="s">
        <v>262</v>
      </c>
      <c r="D95" t="s">
        <v>263</v>
      </c>
      <c r="E95" s="1">
        <v>688298</v>
      </c>
      <c r="F95">
        <v>0.108</v>
      </c>
      <c r="G95">
        <v>20</v>
      </c>
      <c r="H95" t="s">
        <v>1788</v>
      </c>
      <c r="I95">
        <v>8</v>
      </c>
      <c r="J95" s="1" t="s">
        <v>15</v>
      </c>
    </row>
    <row r="96" spans="1:10" x14ac:dyDescent="0.3">
      <c r="A96">
        <v>95</v>
      </c>
      <c r="B96" t="s">
        <v>1882</v>
      </c>
      <c r="C96" t="s">
        <v>265</v>
      </c>
      <c r="D96" t="s">
        <v>266</v>
      </c>
      <c r="E96" s="1">
        <v>955505</v>
      </c>
      <c r="F96">
        <v>0.106</v>
      </c>
      <c r="G96">
        <v>10</v>
      </c>
      <c r="H96" t="s">
        <v>267</v>
      </c>
      <c r="I96">
        <v>5</v>
      </c>
      <c r="J96" s="1" t="s">
        <v>15</v>
      </c>
    </row>
    <row r="97" spans="1:10" x14ac:dyDescent="0.3">
      <c r="A97">
        <v>96</v>
      </c>
      <c r="B97" t="s">
        <v>1883</v>
      </c>
      <c r="C97" t="s">
        <v>1788</v>
      </c>
      <c r="D97" t="s">
        <v>269</v>
      </c>
      <c r="E97" s="1">
        <v>1205882</v>
      </c>
      <c r="F97">
        <v>8.4000000000000005E-2</v>
      </c>
      <c r="G97">
        <v>30</v>
      </c>
      <c r="H97" t="s">
        <v>1788</v>
      </c>
      <c r="I97">
        <v>5</v>
      </c>
      <c r="J97" s="1" t="s">
        <v>270</v>
      </c>
    </row>
    <row r="98" spans="1:10" x14ac:dyDescent="0.3">
      <c r="A98">
        <v>97</v>
      </c>
      <c r="B98" t="s">
        <v>1884</v>
      </c>
      <c r="C98" t="s">
        <v>202</v>
      </c>
      <c r="D98" t="s">
        <v>272</v>
      </c>
      <c r="E98" s="1">
        <v>2478899</v>
      </c>
      <c r="F98">
        <v>8.2000000000000003E-2</v>
      </c>
      <c r="G98">
        <v>20</v>
      </c>
      <c r="H98" t="s">
        <v>1788</v>
      </c>
      <c r="I98">
        <v>15</v>
      </c>
      <c r="J98" s="1" t="s">
        <v>273</v>
      </c>
    </row>
    <row r="99" spans="1:10" x14ac:dyDescent="0.3">
      <c r="A99">
        <v>98</v>
      </c>
      <c r="B99" t="s">
        <v>1885</v>
      </c>
      <c r="C99" t="s">
        <v>1788</v>
      </c>
      <c r="D99" t="s">
        <v>15</v>
      </c>
      <c r="E99" s="1">
        <v>1818565</v>
      </c>
      <c r="F99">
        <v>9.4E-2</v>
      </c>
      <c r="G99">
        <v>15</v>
      </c>
      <c r="H99" t="s">
        <v>275</v>
      </c>
      <c r="I99">
        <v>15</v>
      </c>
      <c r="J99" s="1" t="s">
        <v>276</v>
      </c>
    </row>
    <row r="100" spans="1:10" x14ac:dyDescent="0.3">
      <c r="A100">
        <v>99</v>
      </c>
      <c r="B100" t="s">
        <v>1886</v>
      </c>
      <c r="C100" t="s">
        <v>11</v>
      </c>
      <c r="D100" t="s">
        <v>278</v>
      </c>
      <c r="E100" s="1">
        <v>853648</v>
      </c>
      <c r="F100">
        <v>0.10299999999999999</v>
      </c>
      <c r="G100">
        <v>25</v>
      </c>
      <c r="H100" t="s">
        <v>1788</v>
      </c>
      <c r="I100">
        <v>9</v>
      </c>
      <c r="J100" s="1" t="s">
        <v>279</v>
      </c>
    </row>
    <row r="101" spans="1:10" x14ac:dyDescent="0.3">
      <c r="A101">
        <v>100</v>
      </c>
      <c r="B101" t="s">
        <v>1887</v>
      </c>
      <c r="C101" t="s">
        <v>11</v>
      </c>
      <c r="D101" t="s">
        <v>15</v>
      </c>
      <c r="E101" s="1">
        <v>1147661</v>
      </c>
      <c r="F101">
        <v>0.113</v>
      </c>
      <c r="G101">
        <v>10</v>
      </c>
      <c r="H101" t="s">
        <v>1788</v>
      </c>
      <c r="I101">
        <v>1</v>
      </c>
      <c r="J101" s="1" t="s">
        <v>281</v>
      </c>
    </row>
    <row r="102" spans="1:10" x14ac:dyDescent="0.3">
      <c r="A102">
        <v>101</v>
      </c>
      <c r="B102" t="s">
        <v>1888</v>
      </c>
      <c r="C102" t="s">
        <v>158</v>
      </c>
      <c r="D102" t="s">
        <v>15</v>
      </c>
      <c r="E102" s="1">
        <v>1461907</v>
      </c>
      <c r="F102">
        <v>9.5000000000000001E-2</v>
      </c>
      <c r="G102">
        <v>10</v>
      </c>
      <c r="H102" t="s">
        <v>1788</v>
      </c>
      <c r="I102">
        <v>14</v>
      </c>
      <c r="J102" s="1" t="s">
        <v>15</v>
      </c>
    </row>
    <row r="103" spans="1:10" x14ac:dyDescent="0.3">
      <c r="A103">
        <v>102</v>
      </c>
      <c r="B103" t="s">
        <v>1889</v>
      </c>
      <c r="C103" t="s">
        <v>1788</v>
      </c>
      <c r="D103" t="s">
        <v>284</v>
      </c>
      <c r="E103" s="1">
        <v>925187</v>
      </c>
      <c r="F103">
        <v>8.5999999999999993E-2</v>
      </c>
      <c r="G103">
        <v>25</v>
      </c>
      <c r="H103" t="s">
        <v>285</v>
      </c>
      <c r="I103">
        <v>12</v>
      </c>
      <c r="J103" s="1" t="s">
        <v>15</v>
      </c>
    </row>
    <row r="104" spans="1:10" x14ac:dyDescent="0.3">
      <c r="A104">
        <v>103</v>
      </c>
      <c r="B104" t="s">
        <v>1890</v>
      </c>
      <c r="C104" t="s">
        <v>1788</v>
      </c>
      <c r="D104" t="s">
        <v>287</v>
      </c>
      <c r="E104" s="1">
        <v>2098828</v>
      </c>
      <c r="F104">
        <v>0.115</v>
      </c>
      <c r="G104">
        <v>30</v>
      </c>
      <c r="H104" t="s">
        <v>285</v>
      </c>
      <c r="I104">
        <v>6</v>
      </c>
      <c r="J104" s="1" t="s">
        <v>288</v>
      </c>
    </row>
    <row r="105" spans="1:10" x14ac:dyDescent="0.3">
      <c r="A105">
        <v>104</v>
      </c>
      <c r="B105" t="s">
        <v>1891</v>
      </c>
      <c r="C105" t="s">
        <v>11</v>
      </c>
      <c r="D105" t="s">
        <v>290</v>
      </c>
      <c r="E105" s="1">
        <v>765385</v>
      </c>
      <c r="F105">
        <v>9.2999999999999999E-2</v>
      </c>
      <c r="G105">
        <v>30</v>
      </c>
      <c r="H105" t="s">
        <v>11</v>
      </c>
      <c r="I105">
        <v>0</v>
      </c>
      <c r="J105" s="1" t="s">
        <v>15</v>
      </c>
    </row>
    <row r="106" spans="1:10" x14ac:dyDescent="0.3">
      <c r="A106">
        <v>105</v>
      </c>
      <c r="B106" t="s">
        <v>1892</v>
      </c>
      <c r="C106" t="s">
        <v>292</v>
      </c>
      <c r="D106" t="s">
        <v>293</v>
      </c>
      <c r="E106" s="1">
        <v>2421319</v>
      </c>
      <c r="F106">
        <v>9.2999999999999999E-2</v>
      </c>
      <c r="G106">
        <v>10</v>
      </c>
      <c r="H106" t="s">
        <v>1788</v>
      </c>
      <c r="I106">
        <v>7</v>
      </c>
      <c r="J106" s="1" t="s">
        <v>15</v>
      </c>
    </row>
    <row r="107" spans="1:10" x14ac:dyDescent="0.3">
      <c r="A107">
        <v>106</v>
      </c>
      <c r="B107" t="s">
        <v>1893</v>
      </c>
      <c r="C107" t="s">
        <v>237</v>
      </c>
      <c r="D107" t="s">
        <v>295</v>
      </c>
      <c r="E107" s="1">
        <v>526979</v>
      </c>
      <c r="F107">
        <v>0.115</v>
      </c>
      <c r="G107">
        <v>15</v>
      </c>
      <c r="H107" t="s">
        <v>296</v>
      </c>
      <c r="I107">
        <v>5</v>
      </c>
      <c r="J107" s="1" t="s">
        <v>297</v>
      </c>
    </row>
    <row r="108" spans="1:10" x14ac:dyDescent="0.3">
      <c r="A108">
        <v>107</v>
      </c>
      <c r="B108" t="s">
        <v>1894</v>
      </c>
      <c r="C108" t="s">
        <v>11</v>
      </c>
      <c r="D108" t="s">
        <v>15</v>
      </c>
      <c r="E108" s="1">
        <v>1724951</v>
      </c>
      <c r="F108">
        <v>0.107</v>
      </c>
      <c r="G108">
        <v>30</v>
      </c>
      <c r="H108" t="s">
        <v>299</v>
      </c>
      <c r="I108">
        <v>11</v>
      </c>
      <c r="J108" s="1" t="s">
        <v>300</v>
      </c>
    </row>
    <row r="109" spans="1:10" x14ac:dyDescent="0.3">
      <c r="A109">
        <v>108</v>
      </c>
      <c r="B109" t="s">
        <v>1895</v>
      </c>
      <c r="C109" t="s">
        <v>1788</v>
      </c>
      <c r="D109" t="s">
        <v>302</v>
      </c>
      <c r="E109" s="1">
        <v>1379750</v>
      </c>
      <c r="F109">
        <v>0.104</v>
      </c>
      <c r="G109">
        <v>30</v>
      </c>
      <c r="H109" t="s">
        <v>1788</v>
      </c>
      <c r="I109">
        <v>8</v>
      </c>
      <c r="J109" s="1" t="s">
        <v>15</v>
      </c>
    </row>
    <row r="110" spans="1:10" x14ac:dyDescent="0.3">
      <c r="A110">
        <v>109</v>
      </c>
      <c r="B110" t="s">
        <v>1896</v>
      </c>
      <c r="C110" t="s">
        <v>1788</v>
      </c>
      <c r="D110" t="s">
        <v>304</v>
      </c>
      <c r="E110" s="1">
        <v>776730</v>
      </c>
      <c r="F110">
        <v>0.11600000000000001</v>
      </c>
      <c r="G110">
        <v>20</v>
      </c>
      <c r="H110" t="s">
        <v>305</v>
      </c>
      <c r="I110">
        <v>0</v>
      </c>
      <c r="J110" s="1" t="s">
        <v>306</v>
      </c>
    </row>
    <row r="111" spans="1:10" x14ac:dyDescent="0.3">
      <c r="A111">
        <v>110</v>
      </c>
      <c r="B111" t="s">
        <v>1897</v>
      </c>
      <c r="C111" t="s">
        <v>1788</v>
      </c>
      <c r="D111" t="s">
        <v>15</v>
      </c>
      <c r="E111" s="1">
        <v>2071862</v>
      </c>
      <c r="F111">
        <v>0.11</v>
      </c>
      <c r="G111">
        <v>25</v>
      </c>
      <c r="H111" t="s">
        <v>1788</v>
      </c>
      <c r="I111">
        <v>9</v>
      </c>
      <c r="J111" s="1" t="s">
        <v>308</v>
      </c>
    </row>
    <row r="112" spans="1:10" x14ac:dyDescent="0.3">
      <c r="A112">
        <v>111</v>
      </c>
      <c r="B112" t="s">
        <v>1898</v>
      </c>
      <c r="C112" t="s">
        <v>11</v>
      </c>
      <c r="D112" t="s">
        <v>15</v>
      </c>
      <c r="E112" s="1">
        <v>2221746</v>
      </c>
      <c r="F112">
        <v>0.111</v>
      </c>
      <c r="G112">
        <v>25</v>
      </c>
      <c r="H112" t="s">
        <v>310</v>
      </c>
      <c r="I112">
        <v>14</v>
      </c>
      <c r="J112" s="1" t="s">
        <v>311</v>
      </c>
    </row>
    <row r="113" spans="1:10" x14ac:dyDescent="0.3">
      <c r="A113">
        <v>112</v>
      </c>
      <c r="B113" t="s">
        <v>1899</v>
      </c>
      <c r="C113" t="s">
        <v>1788</v>
      </c>
      <c r="D113" t="s">
        <v>313</v>
      </c>
      <c r="E113" s="1">
        <v>1384481</v>
      </c>
      <c r="F113">
        <v>8.5999999999999993E-2</v>
      </c>
      <c r="G113">
        <v>15</v>
      </c>
      <c r="H113" t="s">
        <v>11</v>
      </c>
      <c r="I113">
        <v>14</v>
      </c>
      <c r="J113" s="1" t="s">
        <v>15</v>
      </c>
    </row>
    <row r="114" spans="1:10" x14ac:dyDescent="0.3">
      <c r="A114">
        <v>113</v>
      </c>
      <c r="B114" t="s">
        <v>1900</v>
      </c>
      <c r="C114" t="s">
        <v>1788</v>
      </c>
      <c r="D114" t="s">
        <v>15</v>
      </c>
      <c r="E114" s="1">
        <v>564762</v>
      </c>
      <c r="F114">
        <v>0.11600000000000001</v>
      </c>
      <c r="G114">
        <v>10</v>
      </c>
      <c r="H114" t="s">
        <v>11</v>
      </c>
      <c r="I114">
        <v>0</v>
      </c>
      <c r="J114" s="1" t="s">
        <v>315</v>
      </c>
    </row>
    <row r="115" spans="1:10" x14ac:dyDescent="0.3">
      <c r="A115">
        <v>114</v>
      </c>
      <c r="B115" t="s">
        <v>1901</v>
      </c>
      <c r="C115" t="s">
        <v>1788</v>
      </c>
      <c r="D115" t="s">
        <v>15</v>
      </c>
      <c r="E115" s="1">
        <v>1838661</v>
      </c>
      <c r="F115">
        <v>9.1999999999999998E-2</v>
      </c>
      <c r="G115">
        <v>20</v>
      </c>
      <c r="H115" t="s">
        <v>1788</v>
      </c>
      <c r="I115">
        <v>10</v>
      </c>
      <c r="J115" s="1" t="s">
        <v>317</v>
      </c>
    </row>
    <row r="116" spans="1:10" x14ac:dyDescent="0.3">
      <c r="A116">
        <v>115</v>
      </c>
      <c r="B116" t="s">
        <v>1902</v>
      </c>
      <c r="C116" t="s">
        <v>11</v>
      </c>
      <c r="D116" t="s">
        <v>319</v>
      </c>
      <c r="E116" s="1">
        <v>2013778</v>
      </c>
      <c r="F116">
        <v>8.7999999999999995E-2</v>
      </c>
      <c r="G116">
        <v>10</v>
      </c>
      <c r="H116" t="s">
        <v>1788</v>
      </c>
      <c r="I116">
        <v>12</v>
      </c>
      <c r="J116" s="1" t="s">
        <v>320</v>
      </c>
    </row>
    <row r="117" spans="1:10" x14ac:dyDescent="0.3">
      <c r="A117">
        <v>116</v>
      </c>
      <c r="B117" t="s">
        <v>1903</v>
      </c>
      <c r="C117" t="s">
        <v>262</v>
      </c>
      <c r="D117" t="s">
        <v>15</v>
      </c>
      <c r="E117" s="1">
        <v>1690052</v>
      </c>
      <c r="F117">
        <v>0.11</v>
      </c>
      <c r="G117">
        <v>20</v>
      </c>
      <c r="H117" t="s">
        <v>322</v>
      </c>
      <c r="I117">
        <v>0</v>
      </c>
      <c r="J117" s="1" t="s">
        <v>323</v>
      </c>
    </row>
    <row r="118" spans="1:10" x14ac:dyDescent="0.3">
      <c r="A118">
        <v>117</v>
      </c>
      <c r="B118" t="s">
        <v>1904</v>
      </c>
      <c r="C118" t="s">
        <v>11</v>
      </c>
      <c r="D118" t="s">
        <v>325</v>
      </c>
      <c r="E118" s="1">
        <v>745340</v>
      </c>
      <c r="F118">
        <v>0.104</v>
      </c>
      <c r="G118">
        <v>10</v>
      </c>
      <c r="H118" t="s">
        <v>1788</v>
      </c>
      <c r="I118">
        <v>2</v>
      </c>
      <c r="J118" s="1" t="s">
        <v>326</v>
      </c>
    </row>
    <row r="119" spans="1:10" x14ac:dyDescent="0.3">
      <c r="A119">
        <v>118</v>
      </c>
      <c r="B119" t="s">
        <v>1905</v>
      </c>
      <c r="C119" t="s">
        <v>11</v>
      </c>
      <c r="D119" t="s">
        <v>328</v>
      </c>
      <c r="E119" s="1">
        <v>2162603</v>
      </c>
      <c r="F119">
        <v>0.115</v>
      </c>
      <c r="G119">
        <v>20</v>
      </c>
      <c r="H119" t="s">
        <v>11</v>
      </c>
      <c r="I119">
        <v>7</v>
      </c>
      <c r="J119" s="1" t="s">
        <v>15</v>
      </c>
    </row>
    <row r="120" spans="1:10" x14ac:dyDescent="0.3">
      <c r="A120">
        <v>119</v>
      </c>
      <c r="B120" t="s">
        <v>1906</v>
      </c>
      <c r="C120" t="s">
        <v>330</v>
      </c>
      <c r="D120" t="s">
        <v>331</v>
      </c>
      <c r="E120" s="1">
        <v>811712</v>
      </c>
      <c r="F120">
        <v>0.10199999999999999</v>
      </c>
      <c r="G120">
        <v>25</v>
      </c>
      <c r="H120" t="s">
        <v>332</v>
      </c>
      <c r="I120">
        <v>12</v>
      </c>
      <c r="J120" s="1" t="s">
        <v>333</v>
      </c>
    </row>
    <row r="121" spans="1:10" x14ac:dyDescent="0.3">
      <c r="A121">
        <v>120</v>
      </c>
      <c r="B121" t="s">
        <v>1907</v>
      </c>
      <c r="C121" t="s">
        <v>1788</v>
      </c>
      <c r="D121" t="s">
        <v>335</v>
      </c>
      <c r="E121" s="1">
        <v>570621</v>
      </c>
      <c r="F121">
        <v>0.11700000000000001</v>
      </c>
      <c r="G121">
        <v>15</v>
      </c>
      <c r="H121" t="s">
        <v>11</v>
      </c>
      <c r="I121">
        <v>15</v>
      </c>
      <c r="J121" s="1" t="s">
        <v>15</v>
      </c>
    </row>
    <row r="122" spans="1:10" x14ac:dyDescent="0.3">
      <c r="A122">
        <v>121</v>
      </c>
      <c r="B122" t="s">
        <v>1908</v>
      </c>
      <c r="C122" t="s">
        <v>11</v>
      </c>
      <c r="D122" t="s">
        <v>337</v>
      </c>
      <c r="E122" s="1">
        <v>975238</v>
      </c>
      <c r="F122">
        <v>9.1999999999999998E-2</v>
      </c>
      <c r="G122">
        <v>15</v>
      </c>
      <c r="H122" t="s">
        <v>1788</v>
      </c>
      <c r="I122">
        <v>12</v>
      </c>
      <c r="J122" s="1" t="s">
        <v>338</v>
      </c>
    </row>
    <row r="123" spans="1:10" x14ac:dyDescent="0.3">
      <c r="A123">
        <v>122</v>
      </c>
      <c r="B123" t="s">
        <v>1909</v>
      </c>
      <c r="C123" t="s">
        <v>40</v>
      </c>
      <c r="D123" t="s">
        <v>340</v>
      </c>
      <c r="E123" s="1">
        <v>2007184</v>
      </c>
      <c r="F123">
        <v>8.7999999999999995E-2</v>
      </c>
      <c r="G123">
        <v>10</v>
      </c>
      <c r="H123" t="s">
        <v>1788</v>
      </c>
      <c r="I123">
        <v>10</v>
      </c>
      <c r="J123" s="1" t="s">
        <v>15</v>
      </c>
    </row>
    <row r="124" spans="1:10" x14ac:dyDescent="0.3">
      <c r="A124">
        <v>123</v>
      </c>
      <c r="B124" t="s">
        <v>1910</v>
      </c>
      <c r="C124" t="s">
        <v>11</v>
      </c>
      <c r="D124" t="s">
        <v>342</v>
      </c>
      <c r="E124" s="1">
        <v>1687683</v>
      </c>
      <c r="F124">
        <v>9.0999999999999998E-2</v>
      </c>
      <c r="G124">
        <v>30</v>
      </c>
      <c r="H124" t="s">
        <v>343</v>
      </c>
      <c r="I124">
        <v>3</v>
      </c>
      <c r="J124" s="1" t="s">
        <v>15</v>
      </c>
    </row>
    <row r="125" spans="1:10" x14ac:dyDescent="0.3">
      <c r="A125">
        <v>124</v>
      </c>
      <c r="B125" t="s">
        <v>1911</v>
      </c>
      <c r="C125" t="s">
        <v>156</v>
      </c>
      <c r="D125" t="s">
        <v>15</v>
      </c>
      <c r="E125" s="1">
        <v>2395849</v>
      </c>
      <c r="F125">
        <v>8.8999999999999996E-2</v>
      </c>
      <c r="G125">
        <v>30</v>
      </c>
      <c r="H125" t="s">
        <v>1788</v>
      </c>
      <c r="I125">
        <v>11</v>
      </c>
      <c r="J125" s="1" t="s">
        <v>15</v>
      </c>
    </row>
    <row r="126" spans="1:10" x14ac:dyDescent="0.3">
      <c r="A126">
        <v>125</v>
      </c>
      <c r="B126" t="s">
        <v>1912</v>
      </c>
      <c r="C126" t="s">
        <v>1788</v>
      </c>
      <c r="D126" t="s">
        <v>346</v>
      </c>
      <c r="E126" s="1">
        <v>1555348</v>
      </c>
      <c r="F126">
        <v>0.10100000000000001</v>
      </c>
      <c r="G126">
        <v>15</v>
      </c>
      <c r="H126" t="s">
        <v>11</v>
      </c>
      <c r="I126">
        <v>1</v>
      </c>
      <c r="J126" s="1" t="s">
        <v>15</v>
      </c>
    </row>
    <row r="127" spans="1:10" x14ac:dyDescent="0.3">
      <c r="A127">
        <v>126</v>
      </c>
      <c r="B127" t="s">
        <v>1913</v>
      </c>
      <c r="C127" t="s">
        <v>11</v>
      </c>
      <c r="D127" t="s">
        <v>348</v>
      </c>
      <c r="E127" s="1">
        <v>2447540</v>
      </c>
      <c r="F127">
        <v>0.108</v>
      </c>
      <c r="G127">
        <v>10</v>
      </c>
      <c r="H127" t="s">
        <v>349</v>
      </c>
      <c r="I127">
        <v>0</v>
      </c>
      <c r="J127" s="1" t="s">
        <v>15</v>
      </c>
    </row>
    <row r="128" spans="1:10" x14ac:dyDescent="0.3">
      <c r="A128">
        <v>127</v>
      </c>
      <c r="B128" t="s">
        <v>1914</v>
      </c>
      <c r="C128" t="s">
        <v>11</v>
      </c>
      <c r="D128" t="s">
        <v>15</v>
      </c>
      <c r="E128" s="1">
        <v>1115736</v>
      </c>
      <c r="F128">
        <v>9.7000000000000003E-2</v>
      </c>
      <c r="G128">
        <v>10</v>
      </c>
      <c r="H128" t="s">
        <v>1788</v>
      </c>
      <c r="I128">
        <v>4</v>
      </c>
      <c r="J128" s="1" t="s">
        <v>351</v>
      </c>
    </row>
    <row r="129" spans="1:10" x14ac:dyDescent="0.3">
      <c r="A129">
        <v>128</v>
      </c>
      <c r="B129" t="s">
        <v>1915</v>
      </c>
      <c r="C129" t="s">
        <v>1788</v>
      </c>
      <c r="D129" t="s">
        <v>353</v>
      </c>
      <c r="E129" s="1">
        <v>1407604</v>
      </c>
      <c r="F129">
        <v>0.112</v>
      </c>
      <c r="G129">
        <v>25</v>
      </c>
      <c r="H129" t="s">
        <v>11</v>
      </c>
      <c r="I129">
        <v>6</v>
      </c>
      <c r="J129" s="1" t="s">
        <v>354</v>
      </c>
    </row>
    <row r="130" spans="1:10" x14ac:dyDescent="0.3">
      <c r="A130">
        <v>129</v>
      </c>
      <c r="B130" t="s">
        <v>1916</v>
      </c>
      <c r="C130" t="s">
        <v>40</v>
      </c>
      <c r="D130" t="s">
        <v>356</v>
      </c>
      <c r="E130" s="1">
        <v>2054937</v>
      </c>
      <c r="F130">
        <v>9.4E-2</v>
      </c>
      <c r="G130">
        <v>30</v>
      </c>
      <c r="H130" t="s">
        <v>11</v>
      </c>
      <c r="I130">
        <v>10</v>
      </c>
      <c r="J130" s="1" t="s">
        <v>357</v>
      </c>
    </row>
    <row r="131" spans="1:10" x14ac:dyDescent="0.3">
      <c r="A131">
        <v>130</v>
      </c>
      <c r="B131" t="s">
        <v>1917</v>
      </c>
      <c r="C131" t="s">
        <v>1788</v>
      </c>
      <c r="D131" t="s">
        <v>359</v>
      </c>
      <c r="E131" s="1">
        <v>1587813</v>
      </c>
      <c r="F131">
        <v>9.4E-2</v>
      </c>
      <c r="G131">
        <v>10</v>
      </c>
      <c r="H131" t="s">
        <v>11</v>
      </c>
      <c r="I131">
        <v>7</v>
      </c>
      <c r="J131" s="1" t="s">
        <v>360</v>
      </c>
    </row>
    <row r="132" spans="1:10" x14ac:dyDescent="0.3">
      <c r="A132">
        <v>131</v>
      </c>
      <c r="B132" t="s">
        <v>1918</v>
      </c>
      <c r="C132" t="s">
        <v>1788</v>
      </c>
      <c r="D132" t="s">
        <v>15</v>
      </c>
      <c r="E132" s="1">
        <v>2120072</v>
      </c>
      <c r="F132">
        <v>0.109</v>
      </c>
      <c r="G132">
        <v>25</v>
      </c>
      <c r="H132" t="s">
        <v>1788</v>
      </c>
      <c r="I132">
        <v>10</v>
      </c>
      <c r="J132" s="1" t="s">
        <v>15</v>
      </c>
    </row>
    <row r="133" spans="1:10" x14ac:dyDescent="0.3">
      <c r="A133">
        <v>132</v>
      </c>
      <c r="B133" t="s">
        <v>1919</v>
      </c>
      <c r="C133" t="s">
        <v>141</v>
      </c>
      <c r="D133" t="s">
        <v>363</v>
      </c>
      <c r="E133" s="1">
        <v>1447594</v>
      </c>
      <c r="F133">
        <v>8.1000000000000003E-2</v>
      </c>
      <c r="G133">
        <v>30</v>
      </c>
      <c r="H133" t="s">
        <v>364</v>
      </c>
      <c r="I133">
        <v>7</v>
      </c>
      <c r="J133" s="1" t="s">
        <v>365</v>
      </c>
    </row>
    <row r="134" spans="1:10" x14ac:dyDescent="0.3">
      <c r="A134">
        <v>133</v>
      </c>
      <c r="B134" t="s">
        <v>1920</v>
      </c>
      <c r="C134" t="s">
        <v>367</v>
      </c>
      <c r="D134" t="s">
        <v>368</v>
      </c>
      <c r="E134" s="1">
        <v>1378390</v>
      </c>
      <c r="F134">
        <v>0.104</v>
      </c>
      <c r="G134">
        <v>20</v>
      </c>
      <c r="H134" t="s">
        <v>1788</v>
      </c>
      <c r="I134">
        <v>6</v>
      </c>
      <c r="J134" s="1" t="s">
        <v>369</v>
      </c>
    </row>
    <row r="135" spans="1:10" x14ac:dyDescent="0.3">
      <c r="A135">
        <v>134</v>
      </c>
      <c r="B135" t="s">
        <v>1921</v>
      </c>
      <c r="C135" t="s">
        <v>371</v>
      </c>
      <c r="D135" t="s">
        <v>15</v>
      </c>
      <c r="E135" s="1">
        <v>1900583</v>
      </c>
      <c r="F135">
        <v>9.4E-2</v>
      </c>
      <c r="G135">
        <v>15</v>
      </c>
      <c r="H135" t="s">
        <v>11</v>
      </c>
      <c r="I135">
        <v>11</v>
      </c>
      <c r="J135" s="1" t="s">
        <v>372</v>
      </c>
    </row>
    <row r="136" spans="1:10" x14ac:dyDescent="0.3">
      <c r="A136">
        <v>135</v>
      </c>
      <c r="B136" t="s">
        <v>1922</v>
      </c>
      <c r="C136" t="s">
        <v>1788</v>
      </c>
      <c r="D136" t="s">
        <v>374</v>
      </c>
      <c r="E136" s="1">
        <v>1307225</v>
      </c>
      <c r="F136">
        <v>0.1</v>
      </c>
      <c r="G136">
        <v>25</v>
      </c>
      <c r="H136" t="s">
        <v>11</v>
      </c>
      <c r="I136">
        <v>13</v>
      </c>
      <c r="J136" s="1" t="s">
        <v>15</v>
      </c>
    </row>
    <row r="137" spans="1:10" x14ac:dyDescent="0.3">
      <c r="A137">
        <v>136</v>
      </c>
      <c r="B137" t="s">
        <v>1923</v>
      </c>
      <c r="C137" t="s">
        <v>209</v>
      </c>
      <c r="D137" t="s">
        <v>376</v>
      </c>
      <c r="E137" s="1">
        <v>1526153</v>
      </c>
      <c r="F137">
        <v>9.0999999999999998E-2</v>
      </c>
      <c r="G137">
        <v>25</v>
      </c>
      <c r="H137" t="s">
        <v>11</v>
      </c>
      <c r="I137">
        <v>9</v>
      </c>
      <c r="J137" s="1" t="s">
        <v>15</v>
      </c>
    </row>
    <row r="138" spans="1:10" x14ac:dyDescent="0.3">
      <c r="A138">
        <v>137</v>
      </c>
      <c r="B138" t="s">
        <v>1924</v>
      </c>
      <c r="C138" t="s">
        <v>158</v>
      </c>
      <c r="D138" t="s">
        <v>378</v>
      </c>
      <c r="E138" s="1">
        <v>2468618</v>
      </c>
      <c r="F138">
        <v>9.7000000000000003E-2</v>
      </c>
      <c r="G138">
        <v>25</v>
      </c>
      <c r="H138" t="s">
        <v>1788</v>
      </c>
      <c r="I138">
        <v>0</v>
      </c>
      <c r="J138" s="1" t="s">
        <v>379</v>
      </c>
    </row>
    <row r="139" spans="1:10" x14ac:dyDescent="0.3">
      <c r="A139">
        <v>138</v>
      </c>
      <c r="B139" t="s">
        <v>1925</v>
      </c>
      <c r="C139" t="s">
        <v>141</v>
      </c>
      <c r="D139" t="s">
        <v>381</v>
      </c>
      <c r="E139" s="1">
        <v>942239</v>
      </c>
      <c r="F139">
        <v>0.11600000000000001</v>
      </c>
      <c r="G139">
        <v>20</v>
      </c>
      <c r="H139" t="s">
        <v>11</v>
      </c>
      <c r="I139">
        <v>10</v>
      </c>
      <c r="J139" s="1" t="s">
        <v>382</v>
      </c>
    </row>
    <row r="140" spans="1:10" x14ac:dyDescent="0.3">
      <c r="A140">
        <v>139</v>
      </c>
      <c r="B140" t="s">
        <v>1926</v>
      </c>
      <c r="C140" t="s">
        <v>11</v>
      </c>
      <c r="D140" t="s">
        <v>15</v>
      </c>
      <c r="E140" s="1">
        <v>2356713</v>
      </c>
      <c r="F140">
        <v>0.10100000000000001</v>
      </c>
      <c r="G140">
        <v>10</v>
      </c>
      <c r="H140" t="s">
        <v>1788</v>
      </c>
      <c r="I140">
        <v>9</v>
      </c>
      <c r="J140" s="1" t="s">
        <v>15</v>
      </c>
    </row>
    <row r="141" spans="1:10" x14ac:dyDescent="0.3">
      <c r="A141">
        <v>140</v>
      </c>
      <c r="B141" t="s">
        <v>1927</v>
      </c>
      <c r="C141" t="s">
        <v>385</v>
      </c>
      <c r="D141" t="s">
        <v>386</v>
      </c>
      <c r="E141" s="1">
        <v>1346453</v>
      </c>
      <c r="F141">
        <v>8.4000000000000005E-2</v>
      </c>
      <c r="G141">
        <v>10</v>
      </c>
      <c r="H141" t="s">
        <v>11</v>
      </c>
      <c r="I141">
        <v>1</v>
      </c>
      <c r="J141" s="1" t="s">
        <v>15</v>
      </c>
    </row>
    <row r="142" spans="1:10" x14ac:dyDescent="0.3">
      <c r="A142">
        <v>141</v>
      </c>
      <c r="B142" t="s">
        <v>1928</v>
      </c>
      <c r="C142" t="s">
        <v>1788</v>
      </c>
      <c r="D142" t="s">
        <v>15</v>
      </c>
      <c r="E142" s="1">
        <v>996286</v>
      </c>
      <c r="F142">
        <v>9.1999999999999998E-2</v>
      </c>
      <c r="G142">
        <v>30</v>
      </c>
      <c r="H142" t="s">
        <v>11</v>
      </c>
      <c r="I142">
        <v>4</v>
      </c>
      <c r="J142" s="1" t="s">
        <v>15</v>
      </c>
    </row>
    <row r="143" spans="1:10" x14ac:dyDescent="0.3">
      <c r="A143">
        <v>142</v>
      </c>
      <c r="B143" t="s">
        <v>1929</v>
      </c>
      <c r="C143" t="s">
        <v>1788</v>
      </c>
      <c r="D143" t="s">
        <v>389</v>
      </c>
      <c r="E143" s="1">
        <v>1774779</v>
      </c>
      <c r="F143">
        <v>0.105</v>
      </c>
      <c r="G143">
        <v>15</v>
      </c>
      <c r="H143" t="s">
        <v>1788</v>
      </c>
      <c r="I143">
        <v>3</v>
      </c>
      <c r="J143" s="1" t="s">
        <v>15</v>
      </c>
    </row>
    <row r="144" spans="1:10" x14ac:dyDescent="0.3">
      <c r="A144">
        <v>143</v>
      </c>
      <c r="B144" t="s">
        <v>1930</v>
      </c>
      <c r="C144" t="s">
        <v>1788</v>
      </c>
      <c r="D144" t="s">
        <v>391</v>
      </c>
      <c r="E144" s="1">
        <v>2296626</v>
      </c>
      <c r="F144">
        <v>0.11600000000000001</v>
      </c>
      <c r="G144">
        <v>25</v>
      </c>
      <c r="H144" t="s">
        <v>11</v>
      </c>
      <c r="I144">
        <v>3</v>
      </c>
      <c r="J144" s="1" t="s">
        <v>15</v>
      </c>
    </row>
    <row r="145" spans="1:10" x14ac:dyDescent="0.3">
      <c r="A145">
        <v>144</v>
      </c>
      <c r="B145" t="s">
        <v>1931</v>
      </c>
      <c r="C145" t="s">
        <v>11</v>
      </c>
      <c r="D145" t="s">
        <v>393</v>
      </c>
      <c r="E145" s="1">
        <v>974545</v>
      </c>
      <c r="F145">
        <v>0.104</v>
      </c>
      <c r="G145">
        <v>30</v>
      </c>
      <c r="H145" t="s">
        <v>1788</v>
      </c>
      <c r="I145">
        <v>2</v>
      </c>
      <c r="J145" s="1" t="s">
        <v>394</v>
      </c>
    </row>
    <row r="146" spans="1:10" x14ac:dyDescent="0.3">
      <c r="A146">
        <v>145</v>
      </c>
      <c r="B146" t="s">
        <v>1932</v>
      </c>
      <c r="C146" t="s">
        <v>11</v>
      </c>
      <c r="D146" t="s">
        <v>396</v>
      </c>
      <c r="E146" s="1">
        <v>1266479</v>
      </c>
      <c r="F146">
        <v>0.113</v>
      </c>
      <c r="G146">
        <v>25</v>
      </c>
      <c r="H146" t="s">
        <v>397</v>
      </c>
      <c r="I146">
        <v>10</v>
      </c>
      <c r="J146" s="1" t="s">
        <v>398</v>
      </c>
    </row>
    <row r="147" spans="1:10" x14ac:dyDescent="0.3">
      <c r="A147">
        <v>146</v>
      </c>
      <c r="B147" t="s">
        <v>1933</v>
      </c>
      <c r="C147" t="s">
        <v>11</v>
      </c>
      <c r="D147" t="s">
        <v>400</v>
      </c>
      <c r="E147" s="1">
        <v>1628164</v>
      </c>
      <c r="F147">
        <v>8.8999999999999996E-2</v>
      </c>
      <c r="G147">
        <v>25</v>
      </c>
      <c r="H147" t="s">
        <v>401</v>
      </c>
      <c r="I147">
        <v>9</v>
      </c>
      <c r="J147" s="1" t="s">
        <v>15</v>
      </c>
    </row>
    <row r="148" spans="1:10" x14ac:dyDescent="0.3">
      <c r="A148">
        <v>147</v>
      </c>
      <c r="B148" t="s">
        <v>1934</v>
      </c>
      <c r="C148" t="s">
        <v>1788</v>
      </c>
      <c r="D148" t="s">
        <v>15</v>
      </c>
      <c r="E148" s="1">
        <v>1513158</v>
      </c>
      <c r="F148">
        <v>8.5000000000000006E-2</v>
      </c>
      <c r="G148">
        <v>10</v>
      </c>
      <c r="H148" t="s">
        <v>11</v>
      </c>
      <c r="I148">
        <v>6</v>
      </c>
      <c r="J148" s="1" t="s">
        <v>403</v>
      </c>
    </row>
    <row r="149" spans="1:10" x14ac:dyDescent="0.3">
      <c r="A149">
        <v>148</v>
      </c>
      <c r="B149" t="s">
        <v>1935</v>
      </c>
      <c r="C149" t="s">
        <v>160</v>
      </c>
      <c r="D149" t="s">
        <v>15</v>
      </c>
      <c r="E149" s="1">
        <v>1644297</v>
      </c>
      <c r="F149">
        <v>0.11</v>
      </c>
      <c r="G149">
        <v>30</v>
      </c>
      <c r="H149" t="s">
        <v>1788</v>
      </c>
      <c r="I149">
        <v>4</v>
      </c>
      <c r="J149" s="1" t="s">
        <v>405</v>
      </c>
    </row>
    <row r="150" spans="1:10" x14ac:dyDescent="0.3">
      <c r="A150">
        <v>149</v>
      </c>
      <c r="B150" t="s">
        <v>1936</v>
      </c>
      <c r="C150" t="s">
        <v>1788</v>
      </c>
      <c r="D150" t="s">
        <v>15</v>
      </c>
      <c r="E150" s="1">
        <v>790212</v>
      </c>
      <c r="F150">
        <v>9.6000000000000002E-2</v>
      </c>
      <c r="G150">
        <v>10</v>
      </c>
      <c r="H150" t="s">
        <v>1788</v>
      </c>
      <c r="I150">
        <v>14</v>
      </c>
      <c r="J150" s="1" t="s">
        <v>15</v>
      </c>
    </row>
    <row r="151" spans="1:10" x14ac:dyDescent="0.3">
      <c r="A151">
        <v>150</v>
      </c>
      <c r="B151" t="s">
        <v>1937</v>
      </c>
      <c r="C151" t="s">
        <v>11</v>
      </c>
      <c r="D151" t="s">
        <v>408</v>
      </c>
      <c r="E151" s="1">
        <v>1394068</v>
      </c>
      <c r="F151">
        <v>0.113</v>
      </c>
      <c r="G151">
        <v>10</v>
      </c>
      <c r="H151" t="s">
        <v>1788</v>
      </c>
      <c r="I151">
        <v>14</v>
      </c>
      <c r="J151" s="1" t="s">
        <v>409</v>
      </c>
    </row>
    <row r="152" spans="1:10" x14ac:dyDescent="0.3">
      <c r="A152">
        <v>151</v>
      </c>
      <c r="B152" t="s">
        <v>1938</v>
      </c>
      <c r="C152" t="s">
        <v>411</v>
      </c>
      <c r="D152" t="s">
        <v>412</v>
      </c>
      <c r="E152" s="1">
        <v>2234940</v>
      </c>
      <c r="F152">
        <v>9.6000000000000002E-2</v>
      </c>
      <c r="G152">
        <v>10</v>
      </c>
      <c r="H152" t="s">
        <v>1788</v>
      </c>
      <c r="I152">
        <v>3</v>
      </c>
      <c r="J152" s="1" t="s">
        <v>15</v>
      </c>
    </row>
    <row r="153" spans="1:10" x14ac:dyDescent="0.3">
      <c r="A153">
        <v>152</v>
      </c>
      <c r="B153" t="s">
        <v>1939</v>
      </c>
      <c r="C153" t="s">
        <v>237</v>
      </c>
      <c r="D153" t="s">
        <v>414</v>
      </c>
      <c r="E153" s="1">
        <v>1269595</v>
      </c>
      <c r="F153">
        <v>9.4E-2</v>
      </c>
      <c r="G153">
        <v>15</v>
      </c>
      <c r="H153" t="s">
        <v>1788</v>
      </c>
      <c r="I153">
        <v>5</v>
      </c>
      <c r="J153" s="1" t="s">
        <v>415</v>
      </c>
    </row>
    <row r="154" spans="1:10" x14ac:dyDescent="0.3">
      <c r="A154">
        <v>153</v>
      </c>
      <c r="B154" t="s">
        <v>1940</v>
      </c>
      <c r="C154" t="s">
        <v>417</v>
      </c>
      <c r="D154" t="s">
        <v>418</v>
      </c>
      <c r="E154" s="1">
        <v>1460327</v>
      </c>
      <c r="F154">
        <v>0.111</v>
      </c>
      <c r="G154">
        <v>20</v>
      </c>
      <c r="H154" t="s">
        <v>1788</v>
      </c>
      <c r="I154">
        <v>6</v>
      </c>
      <c r="J154" s="1" t="s">
        <v>419</v>
      </c>
    </row>
    <row r="155" spans="1:10" x14ac:dyDescent="0.3">
      <c r="A155">
        <v>154</v>
      </c>
      <c r="B155" t="s">
        <v>1941</v>
      </c>
      <c r="C155" t="s">
        <v>411</v>
      </c>
      <c r="D155" t="s">
        <v>15</v>
      </c>
      <c r="E155" s="1">
        <v>1488181</v>
      </c>
      <c r="F155">
        <v>0.111</v>
      </c>
      <c r="G155">
        <v>10</v>
      </c>
      <c r="H155" t="s">
        <v>421</v>
      </c>
      <c r="I155">
        <v>0</v>
      </c>
      <c r="J155" s="1" t="s">
        <v>15</v>
      </c>
    </row>
    <row r="156" spans="1:10" x14ac:dyDescent="0.3">
      <c r="A156">
        <v>155</v>
      </c>
      <c r="B156" t="s">
        <v>1942</v>
      </c>
      <c r="C156" t="s">
        <v>1788</v>
      </c>
      <c r="D156" t="s">
        <v>423</v>
      </c>
      <c r="E156" s="1">
        <v>1253240</v>
      </c>
      <c r="F156">
        <v>9.5000000000000001E-2</v>
      </c>
      <c r="G156">
        <v>20</v>
      </c>
      <c r="H156" t="s">
        <v>424</v>
      </c>
      <c r="I156">
        <v>9</v>
      </c>
      <c r="J156" s="1" t="s">
        <v>15</v>
      </c>
    </row>
    <row r="157" spans="1:10" x14ac:dyDescent="0.3">
      <c r="A157">
        <v>156</v>
      </c>
      <c r="B157" t="s">
        <v>1943</v>
      </c>
      <c r="C157" t="s">
        <v>11</v>
      </c>
      <c r="D157" t="s">
        <v>426</v>
      </c>
      <c r="E157" s="1">
        <v>510631</v>
      </c>
      <c r="F157">
        <v>0.12</v>
      </c>
      <c r="G157">
        <v>10</v>
      </c>
      <c r="H157" t="s">
        <v>11</v>
      </c>
      <c r="I157">
        <v>5</v>
      </c>
      <c r="J157" s="1" t="s">
        <v>427</v>
      </c>
    </row>
    <row r="158" spans="1:10" x14ac:dyDescent="0.3">
      <c r="A158">
        <v>157</v>
      </c>
      <c r="B158" t="s">
        <v>1944</v>
      </c>
      <c r="C158" t="s">
        <v>11</v>
      </c>
      <c r="D158" t="s">
        <v>15</v>
      </c>
      <c r="E158" s="1">
        <v>1075011</v>
      </c>
      <c r="F158">
        <v>0.10100000000000001</v>
      </c>
      <c r="G158">
        <v>20</v>
      </c>
      <c r="H158" t="s">
        <v>364</v>
      </c>
      <c r="I158">
        <v>7</v>
      </c>
      <c r="J158" s="1" t="s">
        <v>429</v>
      </c>
    </row>
    <row r="159" spans="1:10" x14ac:dyDescent="0.3">
      <c r="A159">
        <v>158</v>
      </c>
      <c r="B159" t="s">
        <v>1945</v>
      </c>
      <c r="C159" t="s">
        <v>11</v>
      </c>
      <c r="D159" t="s">
        <v>431</v>
      </c>
      <c r="E159" s="1">
        <v>1175736</v>
      </c>
      <c r="F159">
        <v>8.7999999999999995E-2</v>
      </c>
      <c r="G159">
        <v>20</v>
      </c>
      <c r="H159" t="s">
        <v>11</v>
      </c>
      <c r="I159">
        <v>13</v>
      </c>
      <c r="J159" s="1" t="s">
        <v>15</v>
      </c>
    </row>
    <row r="160" spans="1:10" x14ac:dyDescent="0.3">
      <c r="A160">
        <v>159</v>
      </c>
      <c r="B160" t="s">
        <v>1946</v>
      </c>
      <c r="C160" t="s">
        <v>11</v>
      </c>
      <c r="D160" t="s">
        <v>433</v>
      </c>
      <c r="E160" s="1">
        <v>2018109</v>
      </c>
      <c r="F160">
        <v>0.105</v>
      </c>
      <c r="G160">
        <v>30</v>
      </c>
      <c r="H160" t="s">
        <v>11</v>
      </c>
      <c r="I160">
        <v>11</v>
      </c>
      <c r="J160" s="1" t="s">
        <v>15</v>
      </c>
    </row>
    <row r="161" spans="1:10" x14ac:dyDescent="0.3">
      <c r="A161">
        <v>160</v>
      </c>
      <c r="B161" t="s">
        <v>1947</v>
      </c>
      <c r="C161" t="s">
        <v>435</v>
      </c>
      <c r="D161" t="s">
        <v>15</v>
      </c>
      <c r="E161" s="1">
        <v>1492151</v>
      </c>
      <c r="F161">
        <v>9.6000000000000002E-2</v>
      </c>
      <c r="G161">
        <v>25</v>
      </c>
      <c r="H161" t="s">
        <v>11</v>
      </c>
      <c r="I161">
        <v>2</v>
      </c>
      <c r="J161" s="1" t="s">
        <v>15</v>
      </c>
    </row>
    <row r="162" spans="1:10" x14ac:dyDescent="0.3">
      <c r="A162">
        <v>161</v>
      </c>
      <c r="B162" t="s">
        <v>1948</v>
      </c>
      <c r="C162" t="s">
        <v>1788</v>
      </c>
      <c r="D162" t="s">
        <v>15</v>
      </c>
      <c r="E162" s="1">
        <v>1295523</v>
      </c>
      <c r="F162">
        <v>0.09</v>
      </c>
      <c r="G162">
        <v>20</v>
      </c>
      <c r="H162" t="s">
        <v>437</v>
      </c>
      <c r="I162">
        <v>6</v>
      </c>
      <c r="J162" s="1" t="s">
        <v>438</v>
      </c>
    </row>
    <row r="163" spans="1:10" x14ac:dyDescent="0.3">
      <c r="A163">
        <v>162</v>
      </c>
      <c r="B163" t="s">
        <v>1949</v>
      </c>
      <c r="C163" t="s">
        <v>1788</v>
      </c>
      <c r="D163" t="s">
        <v>15</v>
      </c>
      <c r="E163" s="1">
        <v>1569793</v>
      </c>
      <c r="F163">
        <v>0.10100000000000001</v>
      </c>
      <c r="G163">
        <v>15</v>
      </c>
      <c r="H163" t="s">
        <v>440</v>
      </c>
      <c r="I163">
        <v>2</v>
      </c>
      <c r="J163" s="1" t="s">
        <v>441</v>
      </c>
    </row>
    <row r="164" spans="1:10" x14ac:dyDescent="0.3">
      <c r="A164">
        <v>163</v>
      </c>
      <c r="B164" t="s">
        <v>1950</v>
      </c>
      <c r="C164" t="s">
        <v>435</v>
      </c>
      <c r="D164" t="s">
        <v>443</v>
      </c>
      <c r="E164" s="1">
        <v>2393728</v>
      </c>
      <c r="F164">
        <v>8.8999999999999996E-2</v>
      </c>
      <c r="G164">
        <v>25</v>
      </c>
      <c r="H164" t="s">
        <v>11</v>
      </c>
      <c r="I164">
        <v>8</v>
      </c>
      <c r="J164" s="1" t="s">
        <v>15</v>
      </c>
    </row>
    <row r="165" spans="1:10" x14ac:dyDescent="0.3">
      <c r="A165">
        <v>164</v>
      </c>
      <c r="B165" t="s">
        <v>1951</v>
      </c>
      <c r="C165" t="s">
        <v>417</v>
      </c>
      <c r="D165" t="s">
        <v>15</v>
      </c>
      <c r="E165" s="1">
        <v>1713562</v>
      </c>
      <c r="F165">
        <v>0.114</v>
      </c>
      <c r="G165">
        <v>25</v>
      </c>
      <c r="H165" t="s">
        <v>1788</v>
      </c>
      <c r="I165">
        <v>3</v>
      </c>
      <c r="J165" s="1" t="s">
        <v>445</v>
      </c>
    </row>
    <row r="166" spans="1:10" x14ac:dyDescent="0.3">
      <c r="A166">
        <v>165</v>
      </c>
      <c r="B166" t="s">
        <v>1952</v>
      </c>
      <c r="C166" t="s">
        <v>11</v>
      </c>
      <c r="D166" t="s">
        <v>15</v>
      </c>
      <c r="E166" s="1">
        <v>660098</v>
      </c>
      <c r="F166">
        <v>8.5000000000000006E-2</v>
      </c>
      <c r="G166">
        <v>15</v>
      </c>
      <c r="H166" t="s">
        <v>11</v>
      </c>
      <c r="I166">
        <v>10</v>
      </c>
      <c r="J166" s="1" t="s">
        <v>447</v>
      </c>
    </row>
    <row r="167" spans="1:10" x14ac:dyDescent="0.3">
      <c r="A167">
        <v>166</v>
      </c>
      <c r="B167" t="s">
        <v>1953</v>
      </c>
      <c r="C167" t="s">
        <v>217</v>
      </c>
      <c r="D167" t="s">
        <v>15</v>
      </c>
      <c r="E167" s="1">
        <v>2454502</v>
      </c>
      <c r="F167">
        <v>9.8000000000000004E-2</v>
      </c>
      <c r="G167">
        <v>30</v>
      </c>
      <c r="H167" t="s">
        <v>1788</v>
      </c>
      <c r="I167">
        <v>0</v>
      </c>
      <c r="J167" s="1" t="s">
        <v>15</v>
      </c>
    </row>
    <row r="168" spans="1:10" x14ac:dyDescent="0.3">
      <c r="A168">
        <v>167</v>
      </c>
      <c r="B168" t="s">
        <v>1954</v>
      </c>
      <c r="C168" t="s">
        <v>11</v>
      </c>
      <c r="D168" t="s">
        <v>450</v>
      </c>
      <c r="E168" s="1">
        <v>2251648</v>
      </c>
      <c r="F168">
        <v>0.108</v>
      </c>
      <c r="G168">
        <v>25</v>
      </c>
      <c r="H168" t="s">
        <v>1788</v>
      </c>
      <c r="I168">
        <v>13</v>
      </c>
      <c r="J168" s="1" t="s">
        <v>15</v>
      </c>
    </row>
    <row r="169" spans="1:10" x14ac:dyDescent="0.3">
      <c r="A169">
        <v>168</v>
      </c>
      <c r="B169" t="s">
        <v>1955</v>
      </c>
      <c r="C169" t="s">
        <v>1788</v>
      </c>
      <c r="D169" t="s">
        <v>452</v>
      </c>
      <c r="E169" s="1">
        <v>910977</v>
      </c>
      <c r="F169">
        <v>0.114</v>
      </c>
      <c r="G169">
        <v>15</v>
      </c>
      <c r="H169" t="s">
        <v>453</v>
      </c>
      <c r="I169">
        <v>7</v>
      </c>
      <c r="J169" s="1" t="s">
        <v>15</v>
      </c>
    </row>
    <row r="170" spans="1:10" x14ac:dyDescent="0.3">
      <c r="A170">
        <v>169</v>
      </c>
      <c r="B170" t="s">
        <v>1956</v>
      </c>
      <c r="C170" t="s">
        <v>11</v>
      </c>
      <c r="D170" t="s">
        <v>455</v>
      </c>
      <c r="E170" s="1">
        <v>886040</v>
      </c>
      <c r="F170">
        <v>9.0999999999999998E-2</v>
      </c>
      <c r="G170">
        <v>15</v>
      </c>
      <c r="H170" t="s">
        <v>101</v>
      </c>
      <c r="I170">
        <v>3</v>
      </c>
      <c r="J170" s="1" t="s">
        <v>456</v>
      </c>
    </row>
    <row r="171" spans="1:10" x14ac:dyDescent="0.3">
      <c r="A171">
        <v>170</v>
      </c>
      <c r="B171" t="s">
        <v>1957</v>
      </c>
      <c r="C171" t="s">
        <v>292</v>
      </c>
      <c r="D171" t="s">
        <v>458</v>
      </c>
      <c r="E171" s="1">
        <v>923003</v>
      </c>
      <c r="F171">
        <v>8.1000000000000003E-2</v>
      </c>
      <c r="G171">
        <v>30</v>
      </c>
      <c r="H171" t="s">
        <v>11</v>
      </c>
      <c r="I171">
        <v>13</v>
      </c>
      <c r="J171" s="1" t="s">
        <v>459</v>
      </c>
    </row>
    <row r="172" spans="1:10" x14ac:dyDescent="0.3">
      <c r="A172">
        <v>171</v>
      </c>
      <c r="B172" t="s">
        <v>1958</v>
      </c>
      <c r="C172" t="s">
        <v>1788</v>
      </c>
      <c r="D172" t="s">
        <v>15</v>
      </c>
      <c r="E172" s="1">
        <v>1397761</v>
      </c>
      <c r="F172">
        <v>0.104</v>
      </c>
      <c r="G172">
        <v>15</v>
      </c>
      <c r="H172" t="s">
        <v>461</v>
      </c>
      <c r="I172">
        <v>15</v>
      </c>
      <c r="J172" s="1" t="s">
        <v>462</v>
      </c>
    </row>
    <row r="173" spans="1:10" x14ac:dyDescent="0.3">
      <c r="A173">
        <v>172</v>
      </c>
      <c r="B173" t="s">
        <v>1959</v>
      </c>
      <c r="C173" t="s">
        <v>11</v>
      </c>
      <c r="D173" t="s">
        <v>464</v>
      </c>
      <c r="E173" s="1">
        <v>1100650</v>
      </c>
      <c r="F173">
        <v>0.105</v>
      </c>
      <c r="G173">
        <v>15</v>
      </c>
      <c r="H173" t="s">
        <v>11</v>
      </c>
      <c r="I173">
        <v>0</v>
      </c>
      <c r="J173" s="1" t="s">
        <v>15</v>
      </c>
    </row>
    <row r="174" spans="1:10" x14ac:dyDescent="0.3">
      <c r="A174">
        <v>173</v>
      </c>
      <c r="B174" t="s">
        <v>1960</v>
      </c>
      <c r="C174" t="s">
        <v>11</v>
      </c>
      <c r="D174" t="s">
        <v>15</v>
      </c>
      <c r="E174" s="1">
        <v>1953516</v>
      </c>
      <c r="F174">
        <v>0.105</v>
      </c>
      <c r="G174">
        <v>30</v>
      </c>
      <c r="H174" t="s">
        <v>466</v>
      </c>
      <c r="I174">
        <v>9</v>
      </c>
      <c r="J174" s="1" t="s">
        <v>15</v>
      </c>
    </row>
    <row r="175" spans="1:10" x14ac:dyDescent="0.3">
      <c r="A175">
        <v>174</v>
      </c>
      <c r="B175" t="s">
        <v>1961</v>
      </c>
      <c r="C175" t="s">
        <v>468</v>
      </c>
      <c r="D175" t="s">
        <v>469</v>
      </c>
      <c r="E175" s="1">
        <v>2149355</v>
      </c>
      <c r="F175">
        <v>8.7999999999999995E-2</v>
      </c>
      <c r="G175">
        <v>20</v>
      </c>
      <c r="H175" t="s">
        <v>11</v>
      </c>
      <c r="I175">
        <v>2</v>
      </c>
      <c r="J175" s="1" t="s">
        <v>470</v>
      </c>
    </row>
    <row r="176" spans="1:10" x14ac:dyDescent="0.3">
      <c r="A176">
        <v>175</v>
      </c>
      <c r="B176" t="s">
        <v>1962</v>
      </c>
      <c r="C176" t="s">
        <v>11</v>
      </c>
      <c r="D176" t="s">
        <v>15</v>
      </c>
      <c r="E176" s="1">
        <v>738118</v>
      </c>
      <c r="F176">
        <v>9.7000000000000003E-2</v>
      </c>
      <c r="G176">
        <v>30</v>
      </c>
      <c r="H176" t="s">
        <v>11</v>
      </c>
      <c r="I176">
        <v>6</v>
      </c>
      <c r="J176" s="1" t="s">
        <v>472</v>
      </c>
    </row>
    <row r="177" spans="1:10" x14ac:dyDescent="0.3">
      <c r="A177">
        <v>176</v>
      </c>
      <c r="B177" t="s">
        <v>1963</v>
      </c>
      <c r="C177" t="s">
        <v>11</v>
      </c>
      <c r="D177" t="s">
        <v>474</v>
      </c>
      <c r="E177" s="1">
        <v>1420473</v>
      </c>
      <c r="F177">
        <v>9.9000000000000005E-2</v>
      </c>
      <c r="G177">
        <v>10</v>
      </c>
      <c r="H177" t="s">
        <v>475</v>
      </c>
      <c r="I177">
        <v>14</v>
      </c>
      <c r="J177" s="1" t="s">
        <v>476</v>
      </c>
    </row>
    <row r="178" spans="1:10" x14ac:dyDescent="0.3">
      <c r="A178">
        <v>177</v>
      </c>
      <c r="B178" t="s">
        <v>1964</v>
      </c>
      <c r="C178" t="s">
        <v>215</v>
      </c>
      <c r="D178" t="s">
        <v>478</v>
      </c>
      <c r="E178" s="1">
        <v>2401657</v>
      </c>
      <c r="F178">
        <v>0.114</v>
      </c>
      <c r="G178">
        <v>25</v>
      </c>
      <c r="H178" t="s">
        <v>11</v>
      </c>
      <c r="I178">
        <v>4</v>
      </c>
      <c r="J178" s="1" t="s">
        <v>15</v>
      </c>
    </row>
    <row r="179" spans="1:10" x14ac:dyDescent="0.3">
      <c r="A179">
        <v>178</v>
      </c>
      <c r="B179" t="s">
        <v>1965</v>
      </c>
      <c r="C179" t="s">
        <v>215</v>
      </c>
      <c r="D179" t="s">
        <v>480</v>
      </c>
      <c r="E179" s="1">
        <v>604127</v>
      </c>
      <c r="F179">
        <v>0.10100000000000001</v>
      </c>
      <c r="G179">
        <v>30</v>
      </c>
      <c r="H179" t="s">
        <v>481</v>
      </c>
      <c r="I179">
        <v>12</v>
      </c>
      <c r="J179" s="1" t="s">
        <v>15</v>
      </c>
    </row>
    <row r="180" spans="1:10" x14ac:dyDescent="0.3">
      <c r="A180">
        <v>179</v>
      </c>
      <c r="B180" t="s">
        <v>1966</v>
      </c>
      <c r="C180" t="s">
        <v>11</v>
      </c>
      <c r="D180" t="s">
        <v>483</v>
      </c>
      <c r="E180" s="1">
        <v>1330061</v>
      </c>
      <c r="F180">
        <v>9.4E-2</v>
      </c>
      <c r="G180">
        <v>15</v>
      </c>
      <c r="H180" t="s">
        <v>484</v>
      </c>
      <c r="I180">
        <v>5</v>
      </c>
      <c r="J180" s="1" t="s">
        <v>15</v>
      </c>
    </row>
    <row r="181" spans="1:10" x14ac:dyDescent="0.3">
      <c r="A181">
        <v>180</v>
      </c>
      <c r="B181" t="s">
        <v>1967</v>
      </c>
      <c r="C181" t="s">
        <v>88</v>
      </c>
      <c r="D181" t="s">
        <v>486</v>
      </c>
      <c r="E181" s="1">
        <v>575797</v>
      </c>
      <c r="F181">
        <v>0.10100000000000001</v>
      </c>
      <c r="G181">
        <v>25</v>
      </c>
      <c r="H181" t="s">
        <v>1788</v>
      </c>
      <c r="I181">
        <v>7</v>
      </c>
      <c r="J181" s="1" t="s">
        <v>15</v>
      </c>
    </row>
    <row r="182" spans="1:10" x14ac:dyDescent="0.3">
      <c r="A182">
        <v>181</v>
      </c>
      <c r="B182" t="s">
        <v>1968</v>
      </c>
      <c r="C182" t="s">
        <v>11</v>
      </c>
      <c r="D182" t="s">
        <v>488</v>
      </c>
      <c r="E182" s="1">
        <v>758226</v>
      </c>
      <c r="F182">
        <v>0.11700000000000001</v>
      </c>
      <c r="G182">
        <v>15</v>
      </c>
      <c r="H182" t="s">
        <v>1788</v>
      </c>
      <c r="I182">
        <v>7</v>
      </c>
      <c r="J182" s="1" t="s">
        <v>489</v>
      </c>
    </row>
    <row r="183" spans="1:10" x14ac:dyDescent="0.3">
      <c r="A183">
        <v>182</v>
      </c>
      <c r="B183" t="s">
        <v>1969</v>
      </c>
      <c r="C183" t="s">
        <v>11</v>
      </c>
      <c r="D183" t="s">
        <v>491</v>
      </c>
      <c r="E183" s="1">
        <v>2448680</v>
      </c>
      <c r="F183">
        <v>0.09</v>
      </c>
      <c r="G183">
        <v>15</v>
      </c>
      <c r="H183" t="s">
        <v>492</v>
      </c>
      <c r="I183">
        <v>3</v>
      </c>
      <c r="J183" s="1" t="s">
        <v>493</v>
      </c>
    </row>
    <row r="184" spans="1:10" x14ac:dyDescent="0.3">
      <c r="A184">
        <v>183</v>
      </c>
      <c r="B184" t="s">
        <v>1970</v>
      </c>
      <c r="C184" t="s">
        <v>11</v>
      </c>
      <c r="D184" t="s">
        <v>495</v>
      </c>
      <c r="E184" s="1">
        <v>2320506</v>
      </c>
      <c r="F184">
        <v>8.2000000000000003E-2</v>
      </c>
      <c r="G184">
        <v>20</v>
      </c>
      <c r="H184" t="s">
        <v>496</v>
      </c>
      <c r="I184">
        <v>5</v>
      </c>
      <c r="J184" s="1" t="s">
        <v>497</v>
      </c>
    </row>
    <row r="185" spans="1:10" x14ac:dyDescent="0.3">
      <c r="A185">
        <v>184</v>
      </c>
      <c r="B185" t="s">
        <v>1971</v>
      </c>
      <c r="C185" t="s">
        <v>1788</v>
      </c>
      <c r="D185" t="s">
        <v>499</v>
      </c>
      <c r="E185" s="1">
        <v>2254657</v>
      </c>
      <c r="F185">
        <v>8.4000000000000005E-2</v>
      </c>
      <c r="G185">
        <v>30</v>
      </c>
      <c r="H185" t="s">
        <v>11</v>
      </c>
      <c r="I185">
        <v>3</v>
      </c>
      <c r="J185" s="1" t="s">
        <v>15</v>
      </c>
    </row>
    <row r="186" spans="1:10" x14ac:dyDescent="0.3">
      <c r="A186">
        <v>185</v>
      </c>
      <c r="B186" t="s">
        <v>1972</v>
      </c>
      <c r="C186" t="s">
        <v>435</v>
      </c>
      <c r="D186" t="s">
        <v>501</v>
      </c>
      <c r="E186" s="1">
        <v>1001750</v>
      </c>
      <c r="F186">
        <v>9.0999999999999998E-2</v>
      </c>
      <c r="G186">
        <v>25</v>
      </c>
      <c r="H186" t="s">
        <v>1788</v>
      </c>
      <c r="I186">
        <v>1</v>
      </c>
      <c r="J186" s="1" t="s">
        <v>15</v>
      </c>
    </row>
    <row r="187" spans="1:10" x14ac:dyDescent="0.3">
      <c r="A187">
        <v>186</v>
      </c>
      <c r="B187" t="s">
        <v>1973</v>
      </c>
      <c r="C187" t="s">
        <v>11</v>
      </c>
      <c r="D187" t="s">
        <v>503</v>
      </c>
      <c r="E187" s="1">
        <v>1889256</v>
      </c>
      <c r="F187">
        <v>0.11</v>
      </c>
      <c r="G187">
        <v>25</v>
      </c>
      <c r="H187" t="s">
        <v>504</v>
      </c>
      <c r="I187">
        <v>11</v>
      </c>
      <c r="J187" s="1" t="s">
        <v>505</v>
      </c>
    </row>
    <row r="188" spans="1:10" x14ac:dyDescent="0.3">
      <c r="A188">
        <v>187</v>
      </c>
      <c r="B188" t="s">
        <v>1974</v>
      </c>
      <c r="C188" t="s">
        <v>1788</v>
      </c>
      <c r="D188" t="s">
        <v>507</v>
      </c>
      <c r="E188" s="1">
        <v>2190749</v>
      </c>
      <c r="F188">
        <v>0.10100000000000001</v>
      </c>
      <c r="G188">
        <v>10</v>
      </c>
      <c r="H188" t="s">
        <v>11</v>
      </c>
      <c r="I188">
        <v>5</v>
      </c>
      <c r="J188" s="1" t="s">
        <v>15</v>
      </c>
    </row>
    <row r="189" spans="1:10" x14ac:dyDescent="0.3">
      <c r="A189">
        <v>188</v>
      </c>
      <c r="B189" t="s">
        <v>1975</v>
      </c>
      <c r="C189" t="s">
        <v>1788</v>
      </c>
      <c r="D189" t="s">
        <v>15</v>
      </c>
      <c r="E189" s="1">
        <v>1781677</v>
      </c>
      <c r="F189">
        <v>8.6999999999999994E-2</v>
      </c>
      <c r="G189">
        <v>25</v>
      </c>
      <c r="H189" t="s">
        <v>509</v>
      </c>
      <c r="I189">
        <v>8</v>
      </c>
      <c r="J189" s="1" t="s">
        <v>510</v>
      </c>
    </row>
    <row r="190" spans="1:10" x14ac:dyDescent="0.3">
      <c r="A190">
        <v>189</v>
      </c>
      <c r="B190" t="s">
        <v>1976</v>
      </c>
      <c r="C190" t="s">
        <v>1788</v>
      </c>
      <c r="D190" t="s">
        <v>512</v>
      </c>
      <c r="E190" s="1">
        <v>960971</v>
      </c>
      <c r="F190">
        <v>8.4000000000000005E-2</v>
      </c>
      <c r="G190">
        <v>15</v>
      </c>
      <c r="H190" t="s">
        <v>1788</v>
      </c>
      <c r="I190">
        <v>0</v>
      </c>
      <c r="J190" s="1" t="s">
        <v>513</v>
      </c>
    </row>
    <row r="191" spans="1:10" x14ac:dyDescent="0.3">
      <c r="A191">
        <v>190</v>
      </c>
      <c r="B191" t="s">
        <v>1977</v>
      </c>
      <c r="C191" t="s">
        <v>11</v>
      </c>
      <c r="D191" t="s">
        <v>515</v>
      </c>
      <c r="E191" s="1">
        <v>2359295</v>
      </c>
      <c r="F191">
        <v>8.5000000000000006E-2</v>
      </c>
      <c r="G191">
        <v>10</v>
      </c>
      <c r="H191" t="s">
        <v>1788</v>
      </c>
      <c r="I191">
        <v>10</v>
      </c>
      <c r="J191" s="1" t="s">
        <v>516</v>
      </c>
    </row>
    <row r="192" spans="1:10" x14ac:dyDescent="0.3">
      <c r="A192">
        <v>191</v>
      </c>
      <c r="B192" t="s">
        <v>1978</v>
      </c>
      <c r="C192" t="s">
        <v>1788</v>
      </c>
      <c r="D192" t="s">
        <v>15</v>
      </c>
      <c r="E192" s="1">
        <v>1052725</v>
      </c>
      <c r="F192">
        <v>8.7999999999999995E-2</v>
      </c>
      <c r="G192">
        <v>10</v>
      </c>
      <c r="H192" t="s">
        <v>518</v>
      </c>
      <c r="I192">
        <v>9</v>
      </c>
      <c r="J192" s="1" t="s">
        <v>15</v>
      </c>
    </row>
    <row r="193" spans="1:10" x14ac:dyDescent="0.3">
      <c r="A193">
        <v>192</v>
      </c>
      <c r="B193" t="s">
        <v>1979</v>
      </c>
      <c r="C193" t="s">
        <v>520</v>
      </c>
      <c r="D193" t="s">
        <v>521</v>
      </c>
      <c r="E193" s="1">
        <v>529971</v>
      </c>
      <c r="F193">
        <v>8.6999999999999994E-2</v>
      </c>
      <c r="G193">
        <v>25</v>
      </c>
      <c r="H193" t="s">
        <v>1788</v>
      </c>
      <c r="I193">
        <v>13</v>
      </c>
      <c r="J193" s="1" t="s">
        <v>15</v>
      </c>
    </row>
    <row r="194" spans="1:10" x14ac:dyDescent="0.3">
      <c r="A194">
        <v>193</v>
      </c>
      <c r="B194" t="s">
        <v>1980</v>
      </c>
      <c r="C194" t="s">
        <v>523</v>
      </c>
      <c r="D194" t="s">
        <v>524</v>
      </c>
      <c r="E194" s="1">
        <v>1288546</v>
      </c>
      <c r="F194">
        <v>9.0999999999999998E-2</v>
      </c>
      <c r="G194">
        <v>15</v>
      </c>
      <c r="H194" t="s">
        <v>11</v>
      </c>
      <c r="I194">
        <v>2</v>
      </c>
      <c r="J194" s="1" t="s">
        <v>15</v>
      </c>
    </row>
    <row r="195" spans="1:10" x14ac:dyDescent="0.3">
      <c r="A195">
        <v>194</v>
      </c>
      <c r="B195" t="s">
        <v>1981</v>
      </c>
      <c r="C195" t="s">
        <v>1788</v>
      </c>
      <c r="D195" t="s">
        <v>15</v>
      </c>
      <c r="E195" s="1">
        <v>2441734</v>
      </c>
      <c r="F195">
        <v>0.10199999999999999</v>
      </c>
      <c r="G195">
        <v>25</v>
      </c>
      <c r="H195" t="s">
        <v>526</v>
      </c>
      <c r="I195">
        <v>1</v>
      </c>
      <c r="J195" s="1" t="s">
        <v>527</v>
      </c>
    </row>
    <row r="196" spans="1:10" x14ac:dyDescent="0.3">
      <c r="A196">
        <v>195</v>
      </c>
      <c r="B196" t="s">
        <v>1982</v>
      </c>
      <c r="C196" t="s">
        <v>11</v>
      </c>
      <c r="D196" t="s">
        <v>15</v>
      </c>
      <c r="E196" s="1">
        <v>2333604</v>
      </c>
      <c r="F196">
        <v>9.6000000000000002E-2</v>
      </c>
      <c r="G196">
        <v>15</v>
      </c>
      <c r="H196" t="s">
        <v>11</v>
      </c>
      <c r="I196">
        <v>6</v>
      </c>
      <c r="J196" s="1" t="s">
        <v>529</v>
      </c>
    </row>
    <row r="197" spans="1:10" x14ac:dyDescent="0.3">
      <c r="A197">
        <v>196</v>
      </c>
      <c r="B197" t="s">
        <v>1983</v>
      </c>
      <c r="C197" t="s">
        <v>411</v>
      </c>
      <c r="D197" t="s">
        <v>531</v>
      </c>
      <c r="E197" s="1">
        <v>639195</v>
      </c>
      <c r="F197">
        <v>0.109</v>
      </c>
      <c r="G197">
        <v>25</v>
      </c>
      <c r="H197" t="s">
        <v>1788</v>
      </c>
      <c r="I197">
        <v>4</v>
      </c>
      <c r="J197" s="1" t="s">
        <v>15</v>
      </c>
    </row>
    <row r="198" spans="1:10" x14ac:dyDescent="0.3">
      <c r="A198">
        <v>197</v>
      </c>
      <c r="B198" t="s">
        <v>1984</v>
      </c>
      <c r="C198" t="s">
        <v>533</v>
      </c>
      <c r="D198" t="s">
        <v>15</v>
      </c>
      <c r="E198" s="1">
        <v>2400918</v>
      </c>
      <c r="F198">
        <v>9.5000000000000001E-2</v>
      </c>
      <c r="G198">
        <v>15</v>
      </c>
      <c r="H198" t="s">
        <v>11</v>
      </c>
      <c r="I198">
        <v>9</v>
      </c>
      <c r="J198" s="1" t="s">
        <v>15</v>
      </c>
    </row>
    <row r="199" spans="1:10" x14ac:dyDescent="0.3">
      <c r="A199">
        <v>198</v>
      </c>
      <c r="B199" t="s">
        <v>1985</v>
      </c>
      <c r="C199" t="s">
        <v>11</v>
      </c>
      <c r="D199" t="s">
        <v>15</v>
      </c>
      <c r="E199" s="1">
        <v>592199</v>
      </c>
      <c r="F199">
        <v>9.2999999999999999E-2</v>
      </c>
      <c r="G199">
        <v>20</v>
      </c>
      <c r="H199" t="s">
        <v>1788</v>
      </c>
      <c r="I199">
        <v>14</v>
      </c>
      <c r="J199" s="1" t="s">
        <v>15</v>
      </c>
    </row>
    <row r="200" spans="1:10" x14ac:dyDescent="0.3">
      <c r="A200">
        <v>199</v>
      </c>
      <c r="B200" t="s">
        <v>1986</v>
      </c>
      <c r="C200" t="s">
        <v>1788</v>
      </c>
      <c r="D200" t="s">
        <v>536</v>
      </c>
      <c r="E200" s="1">
        <v>1254272</v>
      </c>
      <c r="F200">
        <v>0.111</v>
      </c>
      <c r="G200">
        <v>30</v>
      </c>
      <c r="H200" t="s">
        <v>537</v>
      </c>
      <c r="I200">
        <v>10</v>
      </c>
      <c r="J200" s="1" t="s">
        <v>15</v>
      </c>
    </row>
    <row r="201" spans="1:10" x14ac:dyDescent="0.3">
      <c r="A201">
        <v>200</v>
      </c>
      <c r="B201" t="s">
        <v>1987</v>
      </c>
      <c r="C201" t="s">
        <v>1788</v>
      </c>
      <c r="D201" t="s">
        <v>539</v>
      </c>
      <c r="E201" s="1">
        <v>2332363</v>
      </c>
      <c r="F201">
        <v>8.1000000000000003E-2</v>
      </c>
      <c r="G201">
        <v>30</v>
      </c>
      <c r="H201" t="s">
        <v>11</v>
      </c>
      <c r="I201">
        <v>8</v>
      </c>
      <c r="J201" s="1" t="s">
        <v>15</v>
      </c>
    </row>
    <row r="202" spans="1:10" x14ac:dyDescent="0.3">
      <c r="A202">
        <v>201</v>
      </c>
      <c r="B202" t="s">
        <v>1988</v>
      </c>
      <c r="C202" t="s">
        <v>1788</v>
      </c>
      <c r="D202" t="s">
        <v>15</v>
      </c>
      <c r="E202" s="1">
        <v>1731047</v>
      </c>
      <c r="F202">
        <v>9.1999999999999998E-2</v>
      </c>
      <c r="G202">
        <v>25</v>
      </c>
      <c r="H202" t="s">
        <v>1788</v>
      </c>
      <c r="I202">
        <v>10</v>
      </c>
      <c r="J202" s="1" t="s">
        <v>541</v>
      </c>
    </row>
    <row r="203" spans="1:10" x14ac:dyDescent="0.3">
      <c r="A203">
        <v>202</v>
      </c>
      <c r="B203" t="s">
        <v>1989</v>
      </c>
      <c r="C203" t="s">
        <v>1788</v>
      </c>
      <c r="D203" t="s">
        <v>543</v>
      </c>
      <c r="E203" s="1">
        <v>1214700</v>
      </c>
      <c r="F203">
        <v>0.12</v>
      </c>
      <c r="G203">
        <v>20</v>
      </c>
      <c r="H203" t="s">
        <v>1788</v>
      </c>
      <c r="I203">
        <v>9</v>
      </c>
      <c r="J203" s="1" t="s">
        <v>15</v>
      </c>
    </row>
    <row r="204" spans="1:10" x14ac:dyDescent="0.3">
      <c r="A204">
        <v>203</v>
      </c>
      <c r="B204" t="s">
        <v>1990</v>
      </c>
      <c r="C204" t="s">
        <v>1788</v>
      </c>
      <c r="D204" t="s">
        <v>545</v>
      </c>
      <c r="E204" s="1">
        <v>1152369</v>
      </c>
      <c r="F204">
        <v>0.10199999999999999</v>
      </c>
      <c r="G204">
        <v>10</v>
      </c>
      <c r="H204" t="s">
        <v>11</v>
      </c>
      <c r="I204">
        <v>10</v>
      </c>
      <c r="J204" s="1" t="s">
        <v>546</v>
      </c>
    </row>
    <row r="205" spans="1:10" x14ac:dyDescent="0.3">
      <c r="A205">
        <v>204</v>
      </c>
      <c r="B205" t="s">
        <v>1991</v>
      </c>
      <c r="C205" t="s">
        <v>1788</v>
      </c>
      <c r="D205" t="s">
        <v>548</v>
      </c>
      <c r="E205" s="1">
        <v>1478785</v>
      </c>
      <c r="F205">
        <v>0.11</v>
      </c>
      <c r="G205">
        <v>20</v>
      </c>
      <c r="H205" t="s">
        <v>549</v>
      </c>
      <c r="I205">
        <v>6</v>
      </c>
      <c r="J205" s="1" t="s">
        <v>550</v>
      </c>
    </row>
    <row r="206" spans="1:10" x14ac:dyDescent="0.3">
      <c r="A206">
        <v>205</v>
      </c>
      <c r="B206" t="s">
        <v>1992</v>
      </c>
      <c r="C206" t="s">
        <v>11</v>
      </c>
      <c r="D206" t="s">
        <v>15</v>
      </c>
      <c r="E206" s="1">
        <v>1153729</v>
      </c>
      <c r="F206">
        <v>0.11600000000000001</v>
      </c>
      <c r="G206">
        <v>30</v>
      </c>
      <c r="H206" t="s">
        <v>526</v>
      </c>
      <c r="I206">
        <v>4</v>
      </c>
      <c r="J206" s="1" t="s">
        <v>15</v>
      </c>
    </row>
    <row r="207" spans="1:10" x14ac:dyDescent="0.3">
      <c r="A207">
        <v>206</v>
      </c>
      <c r="B207" t="s">
        <v>1993</v>
      </c>
      <c r="C207" t="s">
        <v>11</v>
      </c>
      <c r="D207" t="s">
        <v>15</v>
      </c>
      <c r="E207" s="1">
        <v>833789</v>
      </c>
      <c r="F207">
        <v>0.08</v>
      </c>
      <c r="G207">
        <v>15</v>
      </c>
      <c r="H207" t="s">
        <v>553</v>
      </c>
      <c r="I207">
        <v>7</v>
      </c>
      <c r="J207" s="1" t="s">
        <v>554</v>
      </c>
    </row>
    <row r="208" spans="1:10" x14ac:dyDescent="0.3">
      <c r="A208">
        <v>207</v>
      </c>
      <c r="B208" t="s">
        <v>1994</v>
      </c>
      <c r="C208" t="s">
        <v>1788</v>
      </c>
      <c r="D208" t="s">
        <v>15</v>
      </c>
      <c r="E208" s="1">
        <v>629632</v>
      </c>
      <c r="F208">
        <v>0.109</v>
      </c>
      <c r="G208">
        <v>30</v>
      </c>
      <c r="H208" t="s">
        <v>11</v>
      </c>
      <c r="I208">
        <v>3</v>
      </c>
      <c r="J208" s="1" t="s">
        <v>15</v>
      </c>
    </row>
    <row r="209" spans="1:10" x14ac:dyDescent="0.3">
      <c r="A209">
        <v>208</v>
      </c>
      <c r="B209" t="s">
        <v>1995</v>
      </c>
      <c r="C209" t="s">
        <v>59</v>
      </c>
      <c r="D209" t="s">
        <v>557</v>
      </c>
      <c r="E209" s="1">
        <v>2189684</v>
      </c>
      <c r="F209">
        <v>0.115</v>
      </c>
      <c r="G209">
        <v>20</v>
      </c>
      <c r="H209" t="s">
        <v>1788</v>
      </c>
      <c r="I209">
        <v>11</v>
      </c>
      <c r="J209" s="1" t="s">
        <v>15</v>
      </c>
    </row>
    <row r="210" spans="1:10" x14ac:dyDescent="0.3">
      <c r="A210">
        <v>209</v>
      </c>
      <c r="B210" t="s">
        <v>1996</v>
      </c>
      <c r="C210" t="s">
        <v>559</v>
      </c>
      <c r="D210" t="s">
        <v>560</v>
      </c>
      <c r="E210" s="1">
        <v>2473935</v>
      </c>
      <c r="F210">
        <v>0.11</v>
      </c>
      <c r="G210">
        <v>10</v>
      </c>
      <c r="H210" t="s">
        <v>1788</v>
      </c>
      <c r="I210">
        <v>2</v>
      </c>
      <c r="J210" s="1" t="s">
        <v>15</v>
      </c>
    </row>
    <row r="211" spans="1:10" x14ac:dyDescent="0.3">
      <c r="A211">
        <v>210</v>
      </c>
      <c r="B211" t="s">
        <v>1997</v>
      </c>
      <c r="C211" t="s">
        <v>262</v>
      </c>
      <c r="D211" t="s">
        <v>562</v>
      </c>
      <c r="E211" s="1">
        <v>1164846</v>
      </c>
      <c r="F211">
        <v>0.10199999999999999</v>
      </c>
      <c r="G211">
        <v>25</v>
      </c>
      <c r="H211" t="s">
        <v>563</v>
      </c>
      <c r="I211">
        <v>13</v>
      </c>
      <c r="J211" s="1" t="s">
        <v>564</v>
      </c>
    </row>
    <row r="212" spans="1:10" x14ac:dyDescent="0.3">
      <c r="A212">
        <v>211</v>
      </c>
      <c r="B212" t="s">
        <v>1998</v>
      </c>
      <c r="C212" t="s">
        <v>566</v>
      </c>
      <c r="D212" t="s">
        <v>15</v>
      </c>
      <c r="E212" s="1">
        <v>2324644</v>
      </c>
      <c r="F212">
        <v>0.106</v>
      </c>
      <c r="G212">
        <v>25</v>
      </c>
      <c r="H212" t="s">
        <v>1788</v>
      </c>
      <c r="I212">
        <v>10</v>
      </c>
      <c r="J212" s="1" t="s">
        <v>15</v>
      </c>
    </row>
    <row r="213" spans="1:10" x14ac:dyDescent="0.3">
      <c r="A213">
        <v>212</v>
      </c>
      <c r="B213" t="s">
        <v>1999</v>
      </c>
      <c r="C213" t="s">
        <v>11</v>
      </c>
      <c r="D213" t="s">
        <v>15</v>
      </c>
      <c r="E213" s="1">
        <v>1409557</v>
      </c>
      <c r="F213">
        <v>0.10199999999999999</v>
      </c>
      <c r="G213">
        <v>15</v>
      </c>
      <c r="H213" t="s">
        <v>1788</v>
      </c>
      <c r="I213">
        <v>3</v>
      </c>
      <c r="J213" s="1" t="s">
        <v>15</v>
      </c>
    </row>
    <row r="214" spans="1:10" x14ac:dyDescent="0.3">
      <c r="A214">
        <v>213</v>
      </c>
      <c r="B214" t="s">
        <v>2000</v>
      </c>
      <c r="C214" t="s">
        <v>292</v>
      </c>
      <c r="D214" t="s">
        <v>15</v>
      </c>
      <c r="E214" s="1">
        <v>721802</v>
      </c>
      <c r="F214">
        <v>8.4000000000000005E-2</v>
      </c>
      <c r="G214">
        <v>30</v>
      </c>
      <c r="H214" t="s">
        <v>1788</v>
      </c>
      <c r="I214">
        <v>3</v>
      </c>
      <c r="J214" s="1" t="s">
        <v>15</v>
      </c>
    </row>
    <row r="215" spans="1:10" x14ac:dyDescent="0.3">
      <c r="A215">
        <v>214</v>
      </c>
      <c r="B215" t="s">
        <v>2001</v>
      </c>
      <c r="C215" t="s">
        <v>1788</v>
      </c>
      <c r="D215" t="s">
        <v>570</v>
      </c>
      <c r="E215" s="1">
        <v>962546</v>
      </c>
      <c r="F215">
        <v>0.11899999999999999</v>
      </c>
      <c r="G215">
        <v>30</v>
      </c>
      <c r="H215" t="s">
        <v>1788</v>
      </c>
      <c r="I215">
        <v>9</v>
      </c>
      <c r="J215" s="1" t="s">
        <v>571</v>
      </c>
    </row>
    <row r="216" spans="1:10" x14ac:dyDescent="0.3">
      <c r="A216">
        <v>215</v>
      </c>
      <c r="B216" t="s">
        <v>2002</v>
      </c>
      <c r="C216" t="s">
        <v>573</v>
      </c>
      <c r="D216" t="s">
        <v>574</v>
      </c>
      <c r="E216" s="1">
        <v>1305042</v>
      </c>
      <c r="F216">
        <v>9.4E-2</v>
      </c>
      <c r="G216">
        <v>15</v>
      </c>
      <c r="H216" t="s">
        <v>11</v>
      </c>
      <c r="I216">
        <v>3</v>
      </c>
      <c r="J216" s="1" t="s">
        <v>15</v>
      </c>
    </row>
    <row r="217" spans="1:10" x14ac:dyDescent="0.3">
      <c r="A217">
        <v>216</v>
      </c>
      <c r="B217" t="s">
        <v>2003</v>
      </c>
      <c r="C217" t="s">
        <v>11</v>
      </c>
      <c r="D217" t="s">
        <v>576</v>
      </c>
      <c r="E217" s="1">
        <v>1203466</v>
      </c>
      <c r="F217">
        <v>8.5999999999999993E-2</v>
      </c>
      <c r="G217">
        <v>15</v>
      </c>
      <c r="H217" t="s">
        <v>1788</v>
      </c>
      <c r="I217">
        <v>4</v>
      </c>
      <c r="J217" s="1" t="s">
        <v>577</v>
      </c>
    </row>
    <row r="218" spans="1:10" x14ac:dyDescent="0.3">
      <c r="A218">
        <v>217</v>
      </c>
      <c r="B218" t="s">
        <v>2004</v>
      </c>
      <c r="C218" t="s">
        <v>468</v>
      </c>
      <c r="D218" t="s">
        <v>15</v>
      </c>
      <c r="E218" s="1">
        <v>943421</v>
      </c>
      <c r="F218">
        <v>9.9000000000000005E-2</v>
      </c>
      <c r="G218">
        <v>25</v>
      </c>
      <c r="H218" t="s">
        <v>11</v>
      </c>
      <c r="I218">
        <v>14</v>
      </c>
      <c r="J218" s="1" t="s">
        <v>15</v>
      </c>
    </row>
    <row r="219" spans="1:10" x14ac:dyDescent="0.3">
      <c r="A219">
        <v>218</v>
      </c>
      <c r="B219" t="s">
        <v>2005</v>
      </c>
      <c r="C219" t="s">
        <v>580</v>
      </c>
      <c r="D219" t="s">
        <v>15</v>
      </c>
      <c r="E219" s="1">
        <v>1316427</v>
      </c>
      <c r="F219">
        <v>0.11899999999999999</v>
      </c>
      <c r="G219">
        <v>10</v>
      </c>
      <c r="H219" t="s">
        <v>11</v>
      </c>
      <c r="I219">
        <v>3</v>
      </c>
      <c r="J219" s="1" t="s">
        <v>15</v>
      </c>
    </row>
    <row r="220" spans="1:10" x14ac:dyDescent="0.3">
      <c r="A220">
        <v>219</v>
      </c>
      <c r="B220" t="s">
        <v>2006</v>
      </c>
      <c r="C220" t="s">
        <v>1788</v>
      </c>
      <c r="D220" t="s">
        <v>582</v>
      </c>
      <c r="E220" s="1">
        <v>865797</v>
      </c>
      <c r="F220">
        <v>9.8000000000000004E-2</v>
      </c>
      <c r="G220">
        <v>10</v>
      </c>
      <c r="H220" t="s">
        <v>11</v>
      </c>
      <c r="I220">
        <v>13</v>
      </c>
      <c r="J220" s="1" t="s">
        <v>583</v>
      </c>
    </row>
    <row r="221" spans="1:10" x14ac:dyDescent="0.3">
      <c r="A221">
        <v>220</v>
      </c>
      <c r="B221" t="s">
        <v>2007</v>
      </c>
      <c r="C221" t="s">
        <v>11</v>
      </c>
      <c r="D221" t="s">
        <v>585</v>
      </c>
      <c r="E221" s="1">
        <v>1080121</v>
      </c>
      <c r="F221">
        <v>0.113</v>
      </c>
      <c r="G221">
        <v>15</v>
      </c>
      <c r="H221" t="s">
        <v>1788</v>
      </c>
      <c r="I221">
        <v>3</v>
      </c>
      <c r="J221" s="1" t="s">
        <v>15</v>
      </c>
    </row>
    <row r="222" spans="1:10" x14ac:dyDescent="0.3">
      <c r="A222">
        <v>221</v>
      </c>
      <c r="B222" t="s">
        <v>2008</v>
      </c>
      <c r="C222" t="s">
        <v>11</v>
      </c>
      <c r="D222" t="s">
        <v>587</v>
      </c>
      <c r="E222" s="1">
        <v>1387787</v>
      </c>
      <c r="F222">
        <v>8.7999999999999995E-2</v>
      </c>
      <c r="G222">
        <v>30</v>
      </c>
      <c r="H222" t="s">
        <v>588</v>
      </c>
      <c r="I222">
        <v>13</v>
      </c>
      <c r="J222" s="1" t="s">
        <v>589</v>
      </c>
    </row>
    <row r="223" spans="1:10" x14ac:dyDescent="0.3">
      <c r="A223">
        <v>222</v>
      </c>
      <c r="B223" t="s">
        <v>2009</v>
      </c>
      <c r="C223" t="s">
        <v>1788</v>
      </c>
      <c r="D223" t="s">
        <v>591</v>
      </c>
      <c r="E223" s="1">
        <v>1305245</v>
      </c>
      <c r="F223">
        <v>8.4000000000000005E-2</v>
      </c>
      <c r="G223">
        <v>10</v>
      </c>
      <c r="H223" t="s">
        <v>11</v>
      </c>
      <c r="I223">
        <v>3</v>
      </c>
      <c r="J223" s="1" t="s">
        <v>592</v>
      </c>
    </row>
    <row r="224" spans="1:10" x14ac:dyDescent="0.3">
      <c r="A224">
        <v>223</v>
      </c>
      <c r="B224" t="s">
        <v>2010</v>
      </c>
      <c r="C224" t="s">
        <v>11</v>
      </c>
      <c r="D224" t="s">
        <v>594</v>
      </c>
      <c r="E224" s="1">
        <v>813658</v>
      </c>
      <c r="F224">
        <v>8.5000000000000006E-2</v>
      </c>
      <c r="G224">
        <v>25</v>
      </c>
      <c r="H224" t="s">
        <v>1788</v>
      </c>
      <c r="I224">
        <v>2</v>
      </c>
      <c r="J224" s="1" t="s">
        <v>595</v>
      </c>
    </row>
    <row r="225" spans="1:10" x14ac:dyDescent="0.3">
      <c r="A225">
        <v>224</v>
      </c>
      <c r="B225" t="s">
        <v>2011</v>
      </c>
      <c r="C225" t="s">
        <v>1788</v>
      </c>
      <c r="D225" t="s">
        <v>15</v>
      </c>
      <c r="E225" s="1">
        <v>1733772</v>
      </c>
      <c r="F225">
        <v>0.10199999999999999</v>
      </c>
      <c r="G225">
        <v>15</v>
      </c>
      <c r="H225" t="s">
        <v>11</v>
      </c>
      <c r="I225">
        <v>7</v>
      </c>
      <c r="J225" s="1" t="s">
        <v>15</v>
      </c>
    </row>
    <row r="226" spans="1:10" x14ac:dyDescent="0.3">
      <c r="A226">
        <v>225</v>
      </c>
      <c r="B226" t="s">
        <v>2012</v>
      </c>
      <c r="C226" t="s">
        <v>1788</v>
      </c>
      <c r="D226" t="s">
        <v>15</v>
      </c>
      <c r="E226" s="1">
        <v>1353308</v>
      </c>
      <c r="F226">
        <v>0.11799999999999999</v>
      </c>
      <c r="G226">
        <v>15</v>
      </c>
      <c r="H226" t="s">
        <v>1788</v>
      </c>
      <c r="I226">
        <v>2</v>
      </c>
      <c r="J226" s="1" t="s">
        <v>598</v>
      </c>
    </row>
    <row r="227" spans="1:10" x14ac:dyDescent="0.3">
      <c r="A227">
        <v>226</v>
      </c>
      <c r="B227" t="s">
        <v>2013</v>
      </c>
      <c r="C227" t="s">
        <v>11</v>
      </c>
      <c r="D227" t="s">
        <v>600</v>
      </c>
      <c r="E227" s="1">
        <v>1510817</v>
      </c>
      <c r="F227">
        <v>9.1999999999999998E-2</v>
      </c>
      <c r="G227">
        <v>15</v>
      </c>
      <c r="H227" t="s">
        <v>11</v>
      </c>
      <c r="I227">
        <v>9</v>
      </c>
      <c r="J227" s="1" t="s">
        <v>15</v>
      </c>
    </row>
    <row r="228" spans="1:10" x14ac:dyDescent="0.3">
      <c r="A228">
        <v>227</v>
      </c>
      <c r="B228" t="s">
        <v>2014</v>
      </c>
      <c r="C228" t="s">
        <v>1788</v>
      </c>
      <c r="D228" t="s">
        <v>602</v>
      </c>
      <c r="E228" s="1">
        <v>2358574</v>
      </c>
      <c r="F228">
        <v>8.8999999999999996E-2</v>
      </c>
      <c r="G228">
        <v>15</v>
      </c>
      <c r="H228" t="s">
        <v>603</v>
      </c>
      <c r="I228">
        <v>1</v>
      </c>
      <c r="J228" s="1" t="s">
        <v>15</v>
      </c>
    </row>
    <row r="229" spans="1:10" x14ac:dyDescent="0.3">
      <c r="A229">
        <v>228</v>
      </c>
      <c r="B229" t="s">
        <v>2015</v>
      </c>
      <c r="C229" t="s">
        <v>164</v>
      </c>
      <c r="D229" t="s">
        <v>605</v>
      </c>
      <c r="E229" s="1">
        <v>2164708</v>
      </c>
      <c r="F229">
        <v>9.1999999999999998E-2</v>
      </c>
      <c r="G229">
        <v>15</v>
      </c>
      <c r="H229" t="s">
        <v>606</v>
      </c>
      <c r="I229">
        <v>3</v>
      </c>
      <c r="J229" s="1" t="s">
        <v>15</v>
      </c>
    </row>
    <row r="230" spans="1:10" x14ac:dyDescent="0.3">
      <c r="A230">
        <v>229</v>
      </c>
      <c r="B230" t="s">
        <v>2016</v>
      </c>
      <c r="C230" t="s">
        <v>160</v>
      </c>
      <c r="D230" t="s">
        <v>608</v>
      </c>
      <c r="E230" s="1">
        <v>2419230</v>
      </c>
      <c r="F230">
        <v>0.11600000000000001</v>
      </c>
      <c r="G230">
        <v>30</v>
      </c>
      <c r="H230" t="s">
        <v>1788</v>
      </c>
      <c r="I230">
        <v>3</v>
      </c>
      <c r="J230" s="1" t="s">
        <v>609</v>
      </c>
    </row>
    <row r="231" spans="1:10" x14ac:dyDescent="0.3">
      <c r="A231">
        <v>230</v>
      </c>
      <c r="B231" t="s">
        <v>2017</v>
      </c>
      <c r="C231" t="s">
        <v>160</v>
      </c>
      <c r="D231" t="s">
        <v>611</v>
      </c>
      <c r="E231" s="1">
        <v>1843514</v>
      </c>
      <c r="F231">
        <v>0.111</v>
      </c>
      <c r="G231">
        <v>15</v>
      </c>
      <c r="H231" t="s">
        <v>1788</v>
      </c>
      <c r="I231">
        <v>12</v>
      </c>
      <c r="J231" s="1" t="s">
        <v>15</v>
      </c>
    </row>
    <row r="232" spans="1:10" x14ac:dyDescent="0.3">
      <c r="A232">
        <v>231</v>
      </c>
      <c r="B232" t="s">
        <v>2018</v>
      </c>
      <c r="C232" t="s">
        <v>11</v>
      </c>
      <c r="D232" t="s">
        <v>15</v>
      </c>
      <c r="E232" s="1">
        <v>1334801</v>
      </c>
      <c r="F232">
        <v>0.111</v>
      </c>
      <c r="G232">
        <v>10</v>
      </c>
      <c r="H232" t="s">
        <v>11</v>
      </c>
      <c r="I232">
        <v>14</v>
      </c>
      <c r="J232" s="1" t="s">
        <v>613</v>
      </c>
    </row>
    <row r="233" spans="1:10" x14ac:dyDescent="0.3">
      <c r="A233">
        <v>232</v>
      </c>
      <c r="B233" t="s">
        <v>2019</v>
      </c>
      <c r="C233" t="s">
        <v>1788</v>
      </c>
      <c r="D233" t="s">
        <v>615</v>
      </c>
      <c r="E233" s="1">
        <v>1673465</v>
      </c>
      <c r="F233">
        <v>0.12</v>
      </c>
      <c r="G233">
        <v>10</v>
      </c>
      <c r="H233" t="s">
        <v>1788</v>
      </c>
      <c r="I233">
        <v>12</v>
      </c>
      <c r="J233" s="1" t="s">
        <v>616</v>
      </c>
    </row>
    <row r="234" spans="1:10" x14ac:dyDescent="0.3">
      <c r="A234">
        <v>233</v>
      </c>
      <c r="B234" t="s">
        <v>2020</v>
      </c>
      <c r="C234" t="s">
        <v>1788</v>
      </c>
      <c r="D234" t="s">
        <v>618</v>
      </c>
      <c r="E234" s="1">
        <v>777293</v>
      </c>
      <c r="F234">
        <v>0.108</v>
      </c>
      <c r="G234">
        <v>20</v>
      </c>
      <c r="H234" t="s">
        <v>11</v>
      </c>
      <c r="I234">
        <v>9</v>
      </c>
      <c r="J234" s="1" t="s">
        <v>15</v>
      </c>
    </row>
    <row r="235" spans="1:10" x14ac:dyDescent="0.3">
      <c r="A235">
        <v>234</v>
      </c>
      <c r="B235" t="s">
        <v>2021</v>
      </c>
      <c r="C235" t="s">
        <v>11</v>
      </c>
      <c r="D235" t="s">
        <v>620</v>
      </c>
      <c r="E235" s="1">
        <v>1187958</v>
      </c>
      <c r="F235">
        <v>8.6999999999999994E-2</v>
      </c>
      <c r="G235">
        <v>30</v>
      </c>
      <c r="H235" t="s">
        <v>1788</v>
      </c>
      <c r="I235">
        <v>3</v>
      </c>
      <c r="J235" s="1" t="s">
        <v>621</v>
      </c>
    </row>
    <row r="236" spans="1:10" x14ac:dyDescent="0.3">
      <c r="A236">
        <v>235</v>
      </c>
      <c r="B236" t="s">
        <v>2022</v>
      </c>
      <c r="C236" t="s">
        <v>1788</v>
      </c>
      <c r="D236" t="s">
        <v>623</v>
      </c>
      <c r="E236" s="1">
        <v>1939205</v>
      </c>
      <c r="F236">
        <v>0.113</v>
      </c>
      <c r="G236">
        <v>10</v>
      </c>
      <c r="H236" t="s">
        <v>624</v>
      </c>
      <c r="I236">
        <v>5</v>
      </c>
      <c r="J236" s="1" t="s">
        <v>15</v>
      </c>
    </row>
    <row r="237" spans="1:10" x14ac:dyDescent="0.3">
      <c r="A237">
        <v>236</v>
      </c>
      <c r="B237" t="s">
        <v>2023</v>
      </c>
      <c r="C237" t="s">
        <v>1788</v>
      </c>
      <c r="D237" t="s">
        <v>15</v>
      </c>
      <c r="E237" s="1">
        <v>2091938</v>
      </c>
      <c r="F237">
        <v>8.3000000000000004E-2</v>
      </c>
      <c r="G237">
        <v>15</v>
      </c>
      <c r="H237" t="s">
        <v>537</v>
      </c>
      <c r="I237">
        <v>7</v>
      </c>
      <c r="J237" s="1" t="s">
        <v>15</v>
      </c>
    </row>
    <row r="238" spans="1:10" x14ac:dyDescent="0.3">
      <c r="A238">
        <v>237</v>
      </c>
      <c r="B238" t="s">
        <v>2024</v>
      </c>
      <c r="C238" t="s">
        <v>1788</v>
      </c>
      <c r="D238" t="s">
        <v>627</v>
      </c>
      <c r="E238" s="1">
        <v>1261655</v>
      </c>
      <c r="F238">
        <v>0.11600000000000001</v>
      </c>
      <c r="G238">
        <v>25</v>
      </c>
      <c r="H238" t="s">
        <v>11</v>
      </c>
      <c r="I238">
        <v>7</v>
      </c>
      <c r="J238" s="1" t="s">
        <v>628</v>
      </c>
    </row>
    <row r="239" spans="1:10" x14ac:dyDescent="0.3">
      <c r="A239">
        <v>238</v>
      </c>
      <c r="B239" t="s">
        <v>2025</v>
      </c>
      <c r="C239" t="s">
        <v>160</v>
      </c>
      <c r="D239" t="s">
        <v>15</v>
      </c>
      <c r="E239" s="1">
        <v>540987</v>
      </c>
      <c r="F239">
        <v>9.0999999999999998E-2</v>
      </c>
      <c r="G239">
        <v>20</v>
      </c>
      <c r="H239" t="s">
        <v>11</v>
      </c>
      <c r="I239">
        <v>14</v>
      </c>
      <c r="J239" s="1" t="s">
        <v>15</v>
      </c>
    </row>
    <row r="240" spans="1:10" x14ac:dyDescent="0.3">
      <c r="A240">
        <v>239</v>
      </c>
      <c r="B240" t="s">
        <v>2026</v>
      </c>
      <c r="C240" t="s">
        <v>371</v>
      </c>
      <c r="D240" t="s">
        <v>631</v>
      </c>
      <c r="E240" s="1">
        <v>721882</v>
      </c>
      <c r="F240">
        <v>0.109</v>
      </c>
      <c r="G240">
        <v>30</v>
      </c>
      <c r="H240" t="s">
        <v>1788</v>
      </c>
      <c r="I240">
        <v>2</v>
      </c>
      <c r="J240" s="1" t="s">
        <v>15</v>
      </c>
    </row>
    <row r="241" spans="1:10" x14ac:dyDescent="0.3">
      <c r="A241">
        <v>240</v>
      </c>
      <c r="B241" t="s">
        <v>2027</v>
      </c>
      <c r="C241" t="s">
        <v>1788</v>
      </c>
      <c r="D241" t="s">
        <v>15</v>
      </c>
      <c r="E241" s="1">
        <v>2000714</v>
      </c>
      <c r="F241">
        <v>9.9000000000000005E-2</v>
      </c>
      <c r="G241">
        <v>10</v>
      </c>
      <c r="H241" t="s">
        <v>633</v>
      </c>
      <c r="I241">
        <v>13</v>
      </c>
      <c r="J241" s="1" t="s">
        <v>15</v>
      </c>
    </row>
    <row r="242" spans="1:10" x14ac:dyDescent="0.3">
      <c r="A242">
        <v>241</v>
      </c>
      <c r="B242" t="s">
        <v>2028</v>
      </c>
      <c r="C242" t="s">
        <v>209</v>
      </c>
      <c r="D242" t="s">
        <v>635</v>
      </c>
      <c r="E242" s="1">
        <v>551259</v>
      </c>
      <c r="F242">
        <v>0.107</v>
      </c>
      <c r="G242">
        <v>25</v>
      </c>
      <c r="H242" t="s">
        <v>1788</v>
      </c>
      <c r="I242">
        <v>12</v>
      </c>
      <c r="J242" s="1" t="s">
        <v>636</v>
      </c>
    </row>
    <row r="243" spans="1:10" x14ac:dyDescent="0.3">
      <c r="A243">
        <v>242</v>
      </c>
      <c r="B243" t="s">
        <v>2029</v>
      </c>
      <c r="C243" t="s">
        <v>11</v>
      </c>
      <c r="D243" t="s">
        <v>638</v>
      </c>
      <c r="E243" s="1">
        <v>2475453</v>
      </c>
      <c r="F243">
        <v>8.5000000000000006E-2</v>
      </c>
      <c r="G243">
        <v>30</v>
      </c>
      <c r="H243" t="s">
        <v>1788</v>
      </c>
      <c r="I243">
        <v>6</v>
      </c>
      <c r="J243" s="1" t="s">
        <v>639</v>
      </c>
    </row>
    <row r="244" spans="1:10" x14ac:dyDescent="0.3">
      <c r="A244">
        <v>243</v>
      </c>
      <c r="B244" t="s">
        <v>2030</v>
      </c>
      <c r="C244" t="s">
        <v>11</v>
      </c>
      <c r="D244" t="s">
        <v>15</v>
      </c>
      <c r="E244" s="1">
        <v>2027790</v>
      </c>
      <c r="F244">
        <v>8.8999999999999996E-2</v>
      </c>
      <c r="G244">
        <v>15</v>
      </c>
      <c r="H244" t="s">
        <v>11</v>
      </c>
      <c r="I244">
        <v>12</v>
      </c>
      <c r="J244" s="1" t="s">
        <v>641</v>
      </c>
    </row>
    <row r="245" spans="1:10" x14ac:dyDescent="0.3">
      <c r="A245">
        <v>244</v>
      </c>
      <c r="B245" t="s">
        <v>2031</v>
      </c>
      <c r="C245" t="s">
        <v>417</v>
      </c>
      <c r="D245" t="s">
        <v>15</v>
      </c>
      <c r="E245" s="1">
        <v>1194130</v>
      </c>
      <c r="F245">
        <v>0.109</v>
      </c>
      <c r="G245">
        <v>20</v>
      </c>
      <c r="H245" t="s">
        <v>11</v>
      </c>
      <c r="I245">
        <v>7</v>
      </c>
      <c r="J245" s="1" t="s">
        <v>15</v>
      </c>
    </row>
    <row r="246" spans="1:10" x14ac:dyDescent="0.3">
      <c r="A246">
        <v>245</v>
      </c>
      <c r="B246" t="s">
        <v>2032</v>
      </c>
      <c r="C246" t="s">
        <v>1788</v>
      </c>
      <c r="D246" t="s">
        <v>644</v>
      </c>
      <c r="E246" s="1">
        <v>555324</v>
      </c>
      <c r="F246">
        <v>9.5000000000000001E-2</v>
      </c>
      <c r="G246">
        <v>25</v>
      </c>
      <c r="H246" t="s">
        <v>11</v>
      </c>
      <c r="I246">
        <v>3</v>
      </c>
      <c r="J246" s="1" t="s">
        <v>15</v>
      </c>
    </row>
    <row r="247" spans="1:10" x14ac:dyDescent="0.3">
      <c r="A247">
        <v>246</v>
      </c>
      <c r="B247" t="s">
        <v>2033</v>
      </c>
      <c r="C247" t="s">
        <v>646</v>
      </c>
      <c r="D247" t="s">
        <v>647</v>
      </c>
      <c r="E247" s="1">
        <v>1299171</v>
      </c>
      <c r="F247">
        <v>0.109</v>
      </c>
      <c r="G247">
        <v>20</v>
      </c>
      <c r="H247" t="s">
        <v>11</v>
      </c>
      <c r="I247">
        <v>10</v>
      </c>
      <c r="J247" s="1" t="s">
        <v>648</v>
      </c>
    </row>
    <row r="248" spans="1:10" x14ac:dyDescent="0.3">
      <c r="A248">
        <v>247</v>
      </c>
      <c r="B248" t="s">
        <v>2034</v>
      </c>
      <c r="C248" t="s">
        <v>573</v>
      </c>
      <c r="D248" t="s">
        <v>15</v>
      </c>
      <c r="E248" s="1">
        <v>2425265</v>
      </c>
      <c r="F248">
        <v>8.8999999999999996E-2</v>
      </c>
      <c r="G248">
        <v>30</v>
      </c>
      <c r="H248" t="s">
        <v>650</v>
      </c>
      <c r="I248">
        <v>11</v>
      </c>
      <c r="J248" s="1" t="s">
        <v>651</v>
      </c>
    </row>
    <row r="249" spans="1:10" x14ac:dyDescent="0.3">
      <c r="A249">
        <v>248</v>
      </c>
      <c r="B249" t="s">
        <v>2035</v>
      </c>
      <c r="C249" t="s">
        <v>11</v>
      </c>
      <c r="D249" t="s">
        <v>653</v>
      </c>
      <c r="E249" s="1">
        <v>1793855</v>
      </c>
      <c r="F249">
        <v>8.4000000000000005E-2</v>
      </c>
      <c r="G249">
        <v>30</v>
      </c>
      <c r="H249" t="s">
        <v>11</v>
      </c>
      <c r="I249">
        <v>13</v>
      </c>
      <c r="J249" s="1" t="s">
        <v>654</v>
      </c>
    </row>
    <row r="250" spans="1:10" x14ac:dyDescent="0.3">
      <c r="A250">
        <v>249</v>
      </c>
      <c r="B250" t="s">
        <v>2036</v>
      </c>
      <c r="C250" t="s">
        <v>520</v>
      </c>
      <c r="D250" t="s">
        <v>656</v>
      </c>
      <c r="E250" s="1">
        <v>1151240</v>
      </c>
      <c r="F250">
        <v>0.104</v>
      </c>
      <c r="G250">
        <v>25</v>
      </c>
      <c r="H250" t="s">
        <v>1788</v>
      </c>
      <c r="I250">
        <v>15</v>
      </c>
      <c r="J250" s="1" t="s">
        <v>15</v>
      </c>
    </row>
    <row r="251" spans="1:10" x14ac:dyDescent="0.3">
      <c r="A251">
        <v>250</v>
      </c>
      <c r="B251" t="s">
        <v>2037</v>
      </c>
      <c r="C251" t="s">
        <v>11</v>
      </c>
      <c r="D251" t="s">
        <v>658</v>
      </c>
      <c r="E251" s="1">
        <v>2461826</v>
      </c>
      <c r="F251">
        <v>9.2999999999999999E-2</v>
      </c>
      <c r="G251">
        <v>15</v>
      </c>
      <c r="H251" t="s">
        <v>1788</v>
      </c>
      <c r="I251">
        <v>8</v>
      </c>
      <c r="J251" s="1" t="s">
        <v>659</v>
      </c>
    </row>
    <row r="252" spans="1:10" x14ac:dyDescent="0.3">
      <c r="A252">
        <v>251</v>
      </c>
      <c r="B252" t="s">
        <v>2038</v>
      </c>
      <c r="C252" t="s">
        <v>1788</v>
      </c>
      <c r="D252" t="s">
        <v>15</v>
      </c>
      <c r="E252" s="1">
        <v>2275807</v>
      </c>
      <c r="F252">
        <v>8.4000000000000005E-2</v>
      </c>
      <c r="G252">
        <v>15</v>
      </c>
      <c r="H252" t="s">
        <v>1788</v>
      </c>
      <c r="I252">
        <v>11</v>
      </c>
      <c r="J252" s="1" t="s">
        <v>15</v>
      </c>
    </row>
    <row r="253" spans="1:10" x14ac:dyDescent="0.3">
      <c r="A253">
        <v>252</v>
      </c>
      <c r="B253" t="s">
        <v>2039</v>
      </c>
      <c r="C253" t="s">
        <v>580</v>
      </c>
      <c r="D253" t="s">
        <v>662</v>
      </c>
      <c r="E253" s="1">
        <v>753386</v>
      </c>
      <c r="F253">
        <v>8.4000000000000005E-2</v>
      </c>
      <c r="G253">
        <v>15</v>
      </c>
      <c r="H253" t="s">
        <v>663</v>
      </c>
      <c r="I253">
        <v>0</v>
      </c>
      <c r="J253" s="1" t="s">
        <v>664</v>
      </c>
    </row>
    <row r="254" spans="1:10" x14ac:dyDescent="0.3">
      <c r="A254">
        <v>253</v>
      </c>
      <c r="B254" t="s">
        <v>2040</v>
      </c>
      <c r="C254" t="s">
        <v>1788</v>
      </c>
      <c r="D254" t="s">
        <v>666</v>
      </c>
      <c r="E254" s="1">
        <v>1381445</v>
      </c>
      <c r="F254">
        <v>8.1000000000000003E-2</v>
      </c>
      <c r="G254">
        <v>10</v>
      </c>
      <c r="H254" t="s">
        <v>11</v>
      </c>
      <c r="I254">
        <v>11</v>
      </c>
      <c r="J254" s="1" t="s">
        <v>667</v>
      </c>
    </row>
    <row r="255" spans="1:10" x14ac:dyDescent="0.3">
      <c r="A255">
        <v>254</v>
      </c>
      <c r="B255" t="s">
        <v>2041</v>
      </c>
      <c r="C255" t="s">
        <v>11</v>
      </c>
      <c r="D255" t="s">
        <v>669</v>
      </c>
      <c r="E255" s="1">
        <v>1496030</v>
      </c>
      <c r="F255">
        <v>0.11600000000000001</v>
      </c>
      <c r="G255">
        <v>20</v>
      </c>
      <c r="H255" t="s">
        <v>1788</v>
      </c>
      <c r="I255">
        <v>8</v>
      </c>
      <c r="J255" s="1" t="s">
        <v>15</v>
      </c>
    </row>
    <row r="256" spans="1:10" x14ac:dyDescent="0.3">
      <c r="A256">
        <v>255</v>
      </c>
      <c r="B256" t="s">
        <v>2042</v>
      </c>
      <c r="C256" t="s">
        <v>11</v>
      </c>
      <c r="D256" t="s">
        <v>671</v>
      </c>
      <c r="E256" s="1">
        <v>2226904</v>
      </c>
      <c r="F256">
        <v>0.11899999999999999</v>
      </c>
      <c r="G256">
        <v>10</v>
      </c>
      <c r="H256" t="s">
        <v>1788</v>
      </c>
      <c r="I256">
        <v>4</v>
      </c>
      <c r="J256" s="1" t="s">
        <v>672</v>
      </c>
    </row>
    <row r="257" spans="1:10" x14ac:dyDescent="0.3">
      <c r="A257">
        <v>256</v>
      </c>
      <c r="B257" t="s">
        <v>2043</v>
      </c>
      <c r="C257" t="s">
        <v>11</v>
      </c>
      <c r="D257" t="s">
        <v>674</v>
      </c>
      <c r="E257" s="1">
        <v>1383851</v>
      </c>
      <c r="F257">
        <v>8.5000000000000006E-2</v>
      </c>
      <c r="G257">
        <v>30</v>
      </c>
      <c r="H257" t="s">
        <v>11</v>
      </c>
      <c r="I257">
        <v>12</v>
      </c>
      <c r="J257" s="1" t="s">
        <v>675</v>
      </c>
    </row>
    <row r="258" spans="1:10" x14ac:dyDescent="0.3">
      <c r="A258">
        <v>257</v>
      </c>
      <c r="B258" t="s">
        <v>2044</v>
      </c>
      <c r="C258" t="s">
        <v>367</v>
      </c>
      <c r="D258" t="s">
        <v>677</v>
      </c>
      <c r="E258" s="1">
        <v>2082265</v>
      </c>
      <c r="F258">
        <v>8.1000000000000003E-2</v>
      </c>
      <c r="G258">
        <v>25</v>
      </c>
      <c r="H258" t="s">
        <v>1788</v>
      </c>
      <c r="I258">
        <v>12</v>
      </c>
      <c r="J258" s="1" t="s">
        <v>678</v>
      </c>
    </row>
    <row r="259" spans="1:10" x14ac:dyDescent="0.3">
      <c r="A259">
        <v>258</v>
      </c>
      <c r="B259" t="s">
        <v>2045</v>
      </c>
      <c r="C259" t="s">
        <v>11</v>
      </c>
      <c r="D259" t="s">
        <v>680</v>
      </c>
      <c r="E259" s="1">
        <v>930544</v>
      </c>
      <c r="F259">
        <v>8.5999999999999993E-2</v>
      </c>
      <c r="G259">
        <v>30</v>
      </c>
      <c r="H259" t="s">
        <v>11</v>
      </c>
      <c r="I259">
        <v>8</v>
      </c>
      <c r="J259" s="1" t="s">
        <v>681</v>
      </c>
    </row>
    <row r="260" spans="1:10" x14ac:dyDescent="0.3">
      <c r="A260">
        <v>259</v>
      </c>
      <c r="B260" t="s">
        <v>2046</v>
      </c>
      <c r="C260" t="s">
        <v>385</v>
      </c>
      <c r="D260" t="s">
        <v>683</v>
      </c>
      <c r="E260" s="1">
        <v>2087104</v>
      </c>
      <c r="F260">
        <v>8.3000000000000004E-2</v>
      </c>
      <c r="G260">
        <v>15</v>
      </c>
      <c r="H260" t="s">
        <v>684</v>
      </c>
      <c r="I260">
        <v>14</v>
      </c>
      <c r="J260" s="1" t="s">
        <v>15</v>
      </c>
    </row>
    <row r="261" spans="1:10" x14ac:dyDescent="0.3">
      <c r="A261">
        <v>260</v>
      </c>
      <c r="B261" t="s">
        <v>2047</v>
      </c>
      <c r="C261" t="s">
        <v>1788</v>
      </c>
      <c r="D261" t="s">
        <v>686</v>
      </c>
      <c r="E261" s="1">
        <v>1525740</v>
      </c>
      <c r="F261">
        <v>0.10199999999999999</v>
      </c>
      <c r="G261">
        <v>15</v>
      </c>
      <c r="H261" t="s">
        <v>11</v>
      </c>
      <c r="I261">
        <v>15</v>
      </c>
      <c r="J261" s="1" t="s">
        <v>687</v>
      </c>
    </row>
    <row r="262" spans="1:10" x14ac:dyDescent="0.3">
      <c r="A262">
        <v>261</v>
      </c>
      <c r="B262" t="s">
        <v>2048</v>
      </c>
      <c r="C262" t="s">
        <v>1788</v>
      </c>
      <c r="D262" t="s">
        <v>689</v>
      </c>
      <c r="E262" s="1">
        <v>2073455</v>
      </c>
      <c r="F262">
        <v>0.11700000000000001</v>
      </c>
      <c r="G262">
        <v>20</v>
      </c>
      <c r="H262" t="s">
        <v>1788</v>
      </c>
      <c r="I262">
        <v>9</v>
      </c>
      <c r="J262" s="1" t="s">
        <v>690</v>
      </c>
    </row>
    <row r="263" spans="1:10" x14ac:dyDescent="0.3">
      <c r="A263">
        <v>262</v>
      </c>
      <c r="B263" t="s">
        <v>2049</v>
      </c>
      <c r="C263" t="s">
        <v>646</v>
      </c>
      <c r="D263" t="s">
        <v>692</v>
      </c>
      <c r="E263" s="1">
        <v>1556964</v>
      </c>
      <c r="F263">
        <v>8.4000000000000005E-2</v>
      </c>
      <c r="G263">
        <v>10</v>
      </c>
      <c r="H263" t="s">
        <v>693</v>
      </c>
      <c r="I263">
        <v>0</v>
      </c>
      <c r="J263" s="1" t="s">
        <v>15</v>
      </c>
    </row>
    <row r="264" spans="1:10" x14ac:dyDescent="0.3">
      <c r="A264">
        <v>263</v>
      </c>
      <c r="B264" t="s">
        <v>2050</v>
      </c>
      <c r="C264" t="s">
        <v>695</v>
      </c>
      <c r="D264" t="s">
        <v>15</v>
      </c>
      <c r="E264" s="1">
        <v>1824691</v>
      </c>
      <c r="F264">
        <v>8.1000000000000003E-2</v>
      </c>
      <c r="G264">
        <v>15</v>
      </c>
      <c r="H264" t="s">
        <v>11</v>
      </c>
      <c r="I264">
        <v>9</v>
      </c>
      <c r="J264" s="1" t="s">
        <v>15</v>
      </c>
    </row>
    <row r="265" spans="1:10" x14ac:dyDescent="0.3">
      <c r="A265">
        <v>264</v>
      </c>
      <c r="B265" t="s">
        <v>2051</v>
      </c>
      <c r="C265" t="s">
        <v>520</v>
      </c>
      <c r="D265" t="s">
        <v>697</v>
      </c>
      <c r="E265" s="1">
        <v>1469674</v>
      </c>
      <c r="F265">
        <v>0.10100000000000001</v>
      </c>
      <c r="G265">
        <v>25</v>
      </c>
      <c r="H265" t="s">
        <v>11</v>
      </c>
      <c r="I265">
        <v>4</v>
      </c>
      <c r="J265" s="1" t="s">
        <v>15</v>
      </c>
    </row>
    <row r="266" spans="1:10" x14ac:dyDescent="0.3">
      <c r="A266">
        <v>265</v>
      </c>
      <c r="B266" t="s">
        <v>2052</v>
      </c>
      <c r="C266" t="s">
        <v>699</v>
      </c>
      <c r="D266" t="s">
        <v>700</v>
      </c>
      <c r="E266" s="1">
        <v>545695</v>
      </c>
      <c r="F266">
        <v>8.6999999999999994E-2</v>
      </c>
      <c r="G266">
        <v>20</v>
      </c>
      <c r="H266" t="s">
        <v>1788</v>
      </c>
      <c r="I266">
        <v>7</v>
      </c>
      <c r="J266" s="1" t="s">
        <v>701</v>
      </c>
    </row>
    <row r="267" spans="1:10" x14ac:dyDescent="0.3">
      <c r="A267">
        <v>266</v>
      </c>
      <c r="B267" t="s">
        <v>2053</v>
      </c>
      <c r="C267" t="s">
        <v>1788</v>
      </c>
      <c r="D267" t="s">
        <v>703</v>
      </c>
      <c r="E267" s="1">
        <v>1027741</v>
      </c>
      <c r="F267">
        <v>0.10299999999999999</v>
      </c>
      <c r="G267">
        <v>25</v>
      </c>
      <c r="H267" t="s">
        <v>1788</v>
      </c>
      <c r="I267">
        <v>12</v>
      </c>
      <c r="J267" s="1" t="s">
        <v>15</v>
      </c>
    </row>
    <row r="268" spans="1:10" x14ac:dyDescent="0.3">
      <c r="A268">
        <v>267</v>
      </c>
      <c r="B268" t="s">
        <v>2054</v>
      </c>
      <c r="C268" t="s">
        <v>1788</v>
      </c>
      <c r="D268" t="s">
        <v>705</v>
      </c>
      <c r="E268" s="1">
        <v>1818725</v>
      </c>
      <c r="F268">
        <v>0.109</v>
      </c>
      <c r="G268">
        <v>15</v>
      </c>
      <c r="H268" t="s">
        <v>1788</v>
      </c>
      <c r="I268">
        <v>11</v>
      </c>
      <c r="J268" s="1" t="s">
        <v>706</v>
      </c>
    </row>
    <row r="269" spans="1:10" x14ac:dyDescent="0.3">
      <c r="A269">
        <v>268</v>
      </c>
      <c r="B269" t="s">
        <v>2055</v>
      </c>
      <c r="C269" t="s">
        <v>11</v>
      </c>
      <c r="D269" t="s">
        <v>15</v>
      </c>
      <c r="E269" s="1">
        <v>733105</v>
      </c>
      <c r="F269">
        <v>9.8000000000000004E-2</v>
      </c>
      <c r="G269">
        <v>30</v>
      </c>
      <c r="H269" t="s">
        <v>1788</v>
      </c>
      <c r="I269">
        <v>10</v>
      </c>
      <c r="J269" s="1" t="s">
        <v>15</v>
      </c>
    </row>
    <row r="270" spans="1:10" x14ac:dyDescent="0.3">
      <c r="A270">
        <v>269</v>
      </c>
      <c r="B270" t="s">
        <v>2056</v>
      </c>
      <c r="C270" t="s">
        <v>1788</v>
      </c>
      <c r="D270" t="s">
        <v>15</v>
      </c>
      <c r="E270" s="1">
        <v>1691366</v>
      </c>
      <c r="F270">
        <v>0.109</v>
      </c>
      <c r="G270">
        <v>15</v>
      </c>
      <c r="H270" t="s">
        <v>310</v>
      </c>
      <c r="I270">
        <v>8</v>
      </c>
      <c r="J270" s="1" t="s">
        <v>709</v>
      </c>
    </row>
    <row r="271" spans="1:10" x14ac:dyDescent="0.3">
      <c r="A271">
        <v>270</v>
      </c>
      <c r="B271" t="s">
        <v>2057</v>
      </c>
      <c r="C271" t="s">
        <v>11</v>
      </c>
      <c r="D271" t="s">
        <v>711</v>
      </c>
      <c r="E271" s="1">
        <v>2249901</v>
      </c>
      <c r="F271">
        <v>0.109</v>
      </c>
      <c r="G271">
        <v>15</v>
      </c>
      <c r="H271" t="s">
        <v>1788</v>
      </c>
      <c r="I271">
        <v>0</v>
      </c>
      <c r="J271" s="1" t="s">
        <v>712</v>
      </c>
    </row>
    <row r="272" spans="1:10" x14ac:dyDescent="0.3">
      <c r="A272">
        <v>271</v>
      </c>
      <c r="B272" t="s">
        <v>2058</v>
      </c>
      <c r="C272" t="s">
        <v>11</v>
      </c>
      <c r="D272" t="s">
        <v>714</v>
      </c>
      <c r="E272" s="1">
        <v>2459475</v>
      </c>
      <c r="F272">
        <v>8.4000000000000005E-2</v>
      </c>
      <c r="G272">
        <v>10</v>
      </c>
      <c r="H272" t="s">
        <v>11</v>
      </c>
      <c r="I272">
        <v>0</v>
      </c>
      <c r="J272" s="1" t="s">
        <v>15</v>
      </c>
    </row>
    <row r="273" spans="1:10" x14ac:dyDescent="0.3">
      <c r="A273">
        <v>272</v>
      </c>
      <c r="B273" t="s">
        <v>2059</v>
      </c>
      <c r="C273" t="s">
        <v>88</v>
      </c>
      <c r="D273" t="s">
        <v>15</v>
      </c>
      <c r="E273" s="1">
        <v>1221370</v>
      </c>
      <c r="F273">
        <v>0.09</v>
      </c>
      <c r="G273">
        <v>15</v>
      </c>
      <c r="H273" t="s">
        <v>603</v>
      </c>
      <c r="I273">
        <v>9</v>
      </c>
      <c r="J273" s="1" t="s">
        <v>15</v>
      </c>
    </row>
    <row r="274" spans="1:10" x14ac:dyDescent="0.3">
      <c r="A274">
        <v>273</v>
      </c>
      <c r="B274" t="s">
        <v>2060</v>
      </c>
      <c r="C274" t="s">
        <v>1788</v>
      </c>
      <c r="D274" t="s">
        <v>717</v>
      </c>
      <c r="E274" s="1">
        <v>2153933</v>
      </c>
      <c r="F274">
        <v>0.104</v>
      </c>
      <c r="G274">
        <v>30</v>
      </c>
      <c r="H274" t="s">
        <v>1788</v>
      </c>
      <c r="I274">
        <v>3</v>
      </c>
      <c r="J274" s="1" t="s">
        <v>15</v>
      </c>
    </row>
    <row r="275" spans="1:10" x14ac:dyDescent="0.3">
      <c r="A275">
        <v>274</v>
      </c>
      <c r="B275" t="s">
        <v>2061</v>
      </c>
      <c r="C275" t="s">
        <v>36</v>
      </c>
      <c r="D275" t="s">
        <v>719</v>
      </c>
      <c r="E275" s="1">
        <v>1610949</v>
      </c>
      <c r="F275">
        <v>0.10199999999999999</v>
      </c>
      <c r="G275">
        <v>10</v>
      </c>
      <c r="H275" t="s">
        <v>1788</v>
      </c>
      <c r="I275">
        <v>7</v>
      </c>
      <c r="J275" s="1" t="s">
        <v>15</v>
      </c>
    </row>
    <row r="276" spans="1:10" x14ac:dyDescent="0.3">
      <c r="A276">
        <v>275</v>
      </c>
      <c r="B276" t="s">
        <v>2062</v>
      </c>
      <c r="C276" t="s">
        <v>411</v>
      </c>
      <c r="D276" t="s">
        <v>721</v>
      </c>
      <c r="E276" s="1">
        <v>2104411</v>
      </c>
      <c r="F276">
        <v>0.114</v>
      </c>
      <c r="G276">
        <v>30</v>
      </c>
      <c r="H276" t="s">
        <v>722</v>
      </c>
      <c r="I276">
        <v>1</v>
      </c>
      <c r="J276" s="1" t="s">
        <v>723</v>
      </c>
    </row>
    <row r="277" spans="1:10" x14ac:dyDescent="0.3">
      <c r="A277">
        <v>276</v>
      </c>
      <c r="B277" t="s">
        <v>2063</v>
      </c>
      <c r="C277" t="s">
        <v>160</v>
      </c>
      <c r="D277" t="s">
        <v>725</v>
      </c>
      <c r="E277" s="1">
        <v>1246395</v>
      </c>
      <c r="F277">
        <v>8.8999999999999996E-2</v>
      </c>
      <c r="G277">
        <v>15</v>
      </c>
      <c r="H277" t="s">
        <v>1788</v>
      </c>
      <c r="I277">
        <v>1</v>
      </c>
      <c r="J277" s="1" t="s">
        <v>726</v>
      </c>
    </row>
    <row r="278" spans="1:10" x14ac:dyDescent="0.3">
      <c r="A278">
        <v>277</v>
      </c>
      <c r="B278" t="s">
        <v>2064</v>
      </c>
      <c r="C278" t="s">
        <v>1788</v>
      </c>
      <c r="D278" t="s">
        <v>728</v>
      </c>
      <c r="E278" s="1">
        <v>604768</v>
      </c>
      <c r="F278">
        <v>0.106</v>
      </c>
      <c r="G278">
        <v>15</v>
      </c>
      <c r="H278" t="s">
        <v>11</v>
      </c>
      <c r="I278">
        <v>15</v>
      </c>
      <c r="J278" s="1" t="s">
        <v>729</v>
      </c>
    </row>
    <row r="279" spans="1:10" x14ac:dyDescent="0.3">
      <c r="A279">
        <v>278</v>
      </c>
      <c r="B279" t="s">
        <v>2065</v>
      </c>
      <c r="C279" t="s">
        <v>580</v>
      </c>
      <c r="D279" t="s">
        <v>15</v>
      </c>
      <c r="E279" s="1">
        <v>1803388</v>
      </c>
      <c r="F279">
        <v>0.11</v>
      </c>
      <c r="G279">
        <v>30</v>
      </c>
      <c r="H279" t="s">
        <v>731</v>
      </c>
      <c r="I279">
        <v>2</v>
      </c>
      <c r="J279" s="1" t="s">
        <v>732</v>
      </c>
    </row>
    <row r="280" spans="1:10" x14ac:dyDescent="0.3">
      <c r="A280">
        <v>279</v>
      </c>
      <c r="B280" t="s">
        <v>2066</v>
      </c>
      <c r="C280" t="s">
        <v>1788</v>
      </c>
      <c r="D280" t="s">
        <v>15</v>
      </c>
      <c r="E280" s="1">
        <v>1998703</v>
      </c>
      <c r="F280">
        <v>0.11</v>
      </c>
      <c r="G280">
        <v>25</v>
      </c>
      <c r="H280" t="s">
        <v>734</v>
      </c>
      <c r="I280">
        <v>6</v>
      </c>
      <c r="J280" s="1" t="s">
        <v>735</v>
      </c>
    </row>
    <row r="281" spans="1:10" x14ac:dyDescent="0.3">
      <c r="A281">
        <v>280</v>
      </c>
      <c r="B281" t="s">
        <v>2067</v>
      </c>
      <c r="C281" t="s">
        <v>11</v>
      </c>
      <c r="D281" t="s">
        <v>15</v>
      </c>
      <c r="E281" s="1">
        <v>1342717</v>
      </c>
      <c r="F281">
        <v>0.11600000000000001</v>
      </c>
      <c r="G281">
        <v>15</v>
      </c>
      <c r="H281" t="s">
        <v>11</v>
      </c>
      <c r="I281">
        <v>5</v>
      </c>
      <c r="J281" s="1" t="s">
        <v>15</v>
      </c>
    </row>
    <row r="282" spans="1:10" x14ac:dyDescent="0.3">
      <c r="A282">
        <v>281</v>
      </c>
      <c r="B282" t="s">
        <v>2068</v>
      </c>
      <c r="C282" t="s">
        <v>11</v>
      </c>
      <c r="D282" t="s">
        <v>738</v>
      </c>
      <c r="E282" s="1">
        <v>1985753</v>
      </c>
      <c r="F282">
        <v>8.1000000000000003E-2</v>
      </c>
      <c r="G282">
        <v>20</v>
      </c>
      <c r="H282" t="s">
        <v>11</v>
      </c>
      <c r="I282">
        <v>8</v>
      </c>
      <c r="J282" s="1" t="s">
        <v>15</v>
      </c>
    </row>
    <row r="283" spans="1:10" x14ac:dyDescent="0.3">
      <c r="A283">
        <v>282</v>
      </c>
      <c r="B283" t="s">
        <v>2069</v>
      </c>
      <c r="C283" t="s">
        <v>1788</v>
      </c>
      <c r="D283" t="s">
        <v>740</v>
      </c>
      <c r="E283" s="1">
        <v>1586683</v>
      </c>
      <c r="F283">
        <v>0.106</v>
      </c>
      <c r="G283">
        <v>25</v>
      </c>
      <c r="H283" t="s">
        <v>11</v>
      </c>
      <c r="I283">
        <v>4</v>
      </c>
      <c r="J283" s="1" t="s">
        <v>15</v>
      </c>
    </row>
    <row r="284" spans="1:10" x14ac:dyDescent="0.3">
      <c r="A284">
        <v>283</v>
      </c>
      <c r="B284" t="s">
        <v>2070</v>
      </c>
      <c r="C284" t="s">
        <v>36</v>
      </c>
      <c r="D284" t="s">
        <v>742</v>
      </c>
      <c r="E284" s="1">
        <v>1810070</v>
      </c>
      <c r="F284">
        <v>0.109</v>
      </c>
      <c r="G284">
        <v>15</v>
      </c>
      <c r="H284" t="s">
        <v>743</v>
      </c>
      <c r="I284">
        <v>12</v>
      </c>
      <c r="J284" s="1" t="s">
        <v>15</v>
      </c>
    </row>
    <row r="285" spans="1:10" x14ac:dyDescent="0.3">
      <c r="A285">
        <v>284</v>
      </c>
      <c r="B285" t="s">
        <v>2071</v>
      </c>
      <c r="C285" t="s">
        <v>1788</v>
      </c>
      <c r="D285" t="s">
        <v>745</v>
      </c>
      <c r="E285" s="1">
        <v>1503466</v>
      </c>
      <c r="F285">
        <v>0.11</v>
      </c>
      <c r="G285">
        <v>25</v>
      </c>
      <c r="H285" t="s">
        <v>1788</v>
      </c>
      <c r="I285">
        <v>5</v>
      </c>
      <c r="J285" s="1" t="s">
        <v>746</v>
      </c>
    </row>
    <row r="286" spans="1:10" x14ac:dyDescent="0.3">
      <c r="A286">
        <v>285</v>
      </c>
      <c r="B286" t="s">
        <v>2072</v>
      </c>
      <c r="C286" t="s">
        <v>468</v>
      </c>
      <c r="D286" t="s">
        <v>748</v>
      </c>
      <c r="E286" s="1">
        <v>1496432</v>
      </c>
      <c r="F286">
        <v>9.9000000000000005E-2</v>
      </c>
      <c r="G286">
        <v>10</v>
      </c>
      <c r="H286" t="s">
        <v>749</v>
      </c>
      <c r="I286">
        <v>13</v>
      </c>
      <c r="J286" s="1" t="s">
        <v>541</v>
      </c>
    </row>
    <row r="287" spans="1:10" x14ac:dyDescent="0.3">
      <c r="A287">
        <v>286</v>
      </c>
      <c r="B287" t="s">
        <v>2073</v>
      </c>
      <c r="C287" t="s">
        <v>468</v>
      </c>
      <c r="D287" t="s">
        <v>15</v>
      </c>
      <c r="E287" s="1">
        <v>2482180</v>
      </c>
      <c r="F287">
        <v>0.08</v>
      </c>
      <c r="G287">
        <v>10</v>
      </c>
      <c r="H287" t="s">
        <v>1788</v>
      </c>
      <c r="I287">
        <v>11</v>
      </c>
      <c r="J287" s="1" t="s">
        <v>751</v>
      </c>
    </row>
    <row r="288" spans="1:10" x14ac:dyDescent="0.3">
      <c r="A288">
        <v>287</v>
      </c>
      <c r="B288" t="s">
        <v>2074</v>
      </c>
      <c r="C288" t="s">
        <v>1788</v>
      </c>
      <c r="D288" t="s">
        <v>753</v>
      </c>
      <c r="E288" s="1">
        <v>1762698</v>
      </c>
      <c r="F288">
        <v>0.11700000000000001</v>
      </c>
      <c r="G288">
        <v>15</v>
      </c>
      <c r="H288" t="s">
        <v>11</v>
      </c>
      <c r="I288">
        <v>7</v>
      </c>
      <c r="J288" s="1" t="s">
        <v>754</v>
      </c>
    </row>
    <row r="289" spans="1:10" x14ac:dyDescent="0.3">
      <c r="A289">
        <v>288</v>
      </c>
      <c r="B289" t="s">
        <v>2075</v>
      </c>
      <c r="C289" t="s">
        <v>468</v>
      </c>
      <c r="D289" t="s">
        <v>756</v>
      </c>
      <c r="E289" s="1">
        <v>700863</v>
      </c>
      <c r="F289">
        <v>8.7999999999999995E-2</v>
      </c>
      <c r="G289">
        <v>15</v>
      </c>
      <c r="H289" t="s">
        <v>1788</v>
      </c>
      <c r="I289">
        <v>13</v>
      </c>
      <c r="J289" s="1" t="s">
        <v>757</v>
      </c>
    </row>
    <row r="290" spans="1:10" x14ac:dyDescent="0.3">
      <c r="A290">
        <v>289</v>
      </c>
      <c r="B290" t="s">
        <v>2076</v>
      </c>
      <c r="C290" t="s">
        <v>120</v>
      </c>
      <c r="D290" t="s">
        <v>759</v>
      </c>
      <c r="E290" s="1">
        <v>2185354</v>
      </c>
      <c r="F290">
        <v>9.7000000000000003E-2</v>
      </c>
      <c r="G290">
        <v>30</v>
      </c>
      <c r="H290" t="s">
        <v>760</v>
      </c>
      <c r="I290">
        <v>15</v>
      </c>
      <c r="J290" s="1" t="s">
        <v>15</v>
      </c>
    </row>
    <row r="291" spans="1:10" x14ac:dyDescent="0.3">
      <c r="A291">
        <v>290</v>
      </c>
      <c r="B291" t="s">
        <v>2077</v>
      </c>
      <c r="C291" t="s">
        <v>141</v>
      </c>
      <c r="D291" t="s">
        <v>762</v>
      </c>
      <c r="E291" s="1">
        <v>1037868</v>
      </c>
      <c r="F291">
        <v>0.106</v>
      </c>
      <c r="G291">
        <v>25</v>
      </c>
      <c r="H291" t="s">
        <v>11</v>
      </c>
      <c r="I291">
        <v>6</v>
      </c>
      <c r="J291" s="1" t="s">
        <v>763</v>
      </c>
    </row>
    <row r="292" spans="1:10" x14ac:dyDescent="0.3">
      <c r="A292">
        <v>291</v>
      </c>
      <c r="B292" t="s">
        <v>2078</v>
      </c>
      <c r="C292" t="s">
        <v>11</v>
      </c>
      <c r="D292" t="s">
        <v>15</v>
      </c>
      <c r="E292" s="1">
        <v>1105650</v>
      </c>
      <c r="F292">
        <v>0.106</v>
      </c>
      <c r="G292">
        <v>25</v>
      </c>
      <c r="H292" t="s">
        <v>11</v>
      </c>
      <c r="I292">
        <v>6</v>
      </c>
      <c r="J292" s="1" t="s">
        <v>15</v>
      </c>
    </row>
    <row r="293" spans="1:10" x14ac:dyDescent="0.3">
      <c r="A293">
        <v>292</v>
      </c>
      <c r="B293" t="s">
        <v>2079</v>
      </c>
      <c r="C293" t="s">
        <v>766</v>
      </c>
      <c r="D293" t="s">
        <v>767</v>
      </c>
      <c r="E293" s="1">
        <v>2437786</v>
      </c>
      <c r="F293">
        <v>0.108</v>
      </c>
      <c r="G293">
        <v>30</v>
      </c>
      <c r="H293" t="s">
        <v>101</v>
      </c>
      <c r="I293">
        <v>12</v>
      </c>
      <c r="J293" s="1" t="s">
        <v>768</v>
      </c>
    </row>
    <row r="294" spans="1:10" x14ac:dyDescent="0.3">
      <c r="A294">
        <v>293</v>
      </c>
      <c r="B294" t="s">
        <v>2080</v>
      </c>
      <c r="C294" t="s">
        <v>262</v>
      </c>
      <c r="D294" t="s">
        <v>15</v>
      </c>
      <c r="E294" s="1">
        <v>1591985</v>
      </c>
      <c r="F294">
        <v>8.1000000000000003E-2</v>
      </c>
      <c r="G294">
        <v>30</v>
      </c>
      <c r="H294" t="s">
        <v>11</v>
      </c>
      <c r="I294">
        <v>5</v>
      </c>
      <c r="J294" s="1" t="s">
        <v>15</v>
      </c>
    </row>
    <row r="295" spans="1:10" x14ac:dyDescent="0.3">
      <c r="A295">
        <v>294</v>
      </c>
      <c r="B295" t="s">
        <v>2081</v>
      </c>
      <c r="C295" t="s">
        <v>533</v>
      </c>
      <c r="D295" t="s">
        <v>771</v>
      </c>
      <c r="E295" s="1">
        <v>1375687</v>
      </c>
      <c r="F295">
        <v>0.115</v>
      </c>
      <c r="G295">
        <v>30</v>
      </c>
      <c r="H295" t="s">
        <v>772</v>
      </c>
      <c r="I295">
        <v>2</v>
      </c>
      <c r="J295" s="1" t="s">
        <v>773</v>
      </c>
    </row>
    <row r="296" spans="1:10" x14ac:dyDescent="0.3">
      <c r="A296">
        <v>295</v>
      </c>
      <c r="B296" t="s">
        <v>2082</v>
      </c>
      <c r="C296" t="s">
        <v>11</v>
      </c>
      <c r="D296" t="s">
        <v>775</v>
      </c>
      <c r="E296" s="1">
        <v>2104356</v>
      </c>
      <c r="F296">
        <v>8.8999999999999996E-2</v>
      </c>
      <c r="G296">
        <v>30</v>
      </c>
      <c r="H296" t="s">
        <v>11</v>
      </c>
      <c r="I296">
        <v>2</v>
      </c>
      <c r="J296" s="1" t="s">
        <v>776</v>
      </c>
    </row>
    <row r="297" spans="1:10" x14ac:dyDescent="0.3">
      <c r="A297">
        <v>296</v>
      </c>
      <c r="B297" t="s">
        <v>2083</v>
      </c>
      <c r="C297" t="s">
        <v>1788</v>
      </c>
      <c r="D297" t="s">
        <v>778</v>
      </c>
      <c r="E297" s="1">
        <v>893548</v>
      </c>
      <c r="F297">
        <v>0.112</v>
      </c>
      <c r="G297">
        <v>30</v>
      </c>
      <c r="H297" t="s">
        <v>779</v>
      </c>
      <c r="I297">
        <v>5</v>
      </c>
      <c r="J297" s="1" t="s">
        <v>780</v>
      </c>
    </row>
    <row r="298" spans="1:10" x14ac:dyDescent="0.3">
      <c r="A298">
        <v>297</v>
      </c>
      <c r="B298" t="s">
        <v>2084</v>
      </c>
      <c r="C298" t="s">
        <v>11</v>
      </c>
      <c r="D298" t="s">
        <v>782</v>
      </c>
      <c r="E298" s="1">
        <v>1274168</v>
      </c>
      <c r="F298">
        <v>8.3000000000000004E-2</v>
      </c>
      <c r="G298">
        <v>20</v>
      </c>
      <c r="H298" t="s">
        <v>1788</v>
      </c>
      <c r="I298">
        <v>2</v>
      </c>
      <c r="J298" s="1" t="s">
        <v>15</v>
      </c>
    </row>
    <row r="299" spans="1:10" x14ac:dyDescent="0.3">
      <c r="A299">
        <v>298</v>
      </c>
      <c r="B299" t="s">
        <v>2085</v>
      </c>
      <c r="C299" t="s">
        <v>11</v>
      </c>
      <c r="D299" t="s">
        <v>784</v>
      </c>
      <c r="E299" s="1">
        <v>1731849</v>
      </c>
      <c r="F299">
        <v>0.08</v>
      </c>
      <c r="G299">
        <v>15</v>
      </c>
      <c r="H299" t="s">
        <v>785</v>
      </c>
      <c r="I299">
        <v>10</v>
      </c>
      <c r="J299" s="1" t="s">
        <v>15</v>
      </c>
    </row>
    <row r="300" spans="1:10" x14ac:dyDescent="0.3">
      <c r="A300">
        <v>299</v>
      </c>
      <c r="B300" t="s">
        <v>2086</v>
      </c>
      <c r="C300" t="s">
        <v>1788</v>
      </c>
      <c r="D300" t="s">
        <v>787</v>
      </c>
      <c r="E300" s="1">
        <v>835828</v>
      </c>
      <c r="F300">
        <v>9.0999999999999998E-2</v>
      </c>
      <c r="G300">
        <v>15</v>
      </c>
      <c r="H300" t="s">
        <v>11</v>
      </c>
      <c r="I300">
        <v>5</v>
      </c>
      <c r="J300" s="1" t="s">
        <v>15</v>
      </c>
    </row>
    <row r="301" spans="1:10" x14ac:dyDescent="0.3">
      <c r="A301">
        <v>300</v>
      </c>
      <c r="B301" t="s">
        <v>2087</v>
      </c>
      <c r="C301" t="s">
        <v>141</v>
      </c>
      <c r="D301" t="s">
        <v>15</v>
      </c>
      <c r="E301" s="1">
        <v>1098858</v>
      </c>
      <c r="F301">
        <v>9.0999999999999998E-2</v>
      </c>
      <c r="G301">
        <v>30</v>
      </c>
      <c r="H301" t="s">
        <v>789</v>
      </c>
      <c r="I301">
        <v>15</v>
      </c>
      <c r="J301" s="1" t="s">
        <v>15</v>
      </c>
    </row>
    <row r="302" spans="1:10" x14ac:dyDescent="0.3">
      <c r="A302">
        <v>301</v>
      </c>
      <c r="B302" t="s">
        <v>2088</v>
      </c>
      <c r="C302" t="s">
        <v>1788</v>
      </c>
      <c r="D302" t="s">
        <v>791</v>
      </c>
      <c r="E302" s="1">
        <v>2206680</v>
      </c>
      <c r="F302">
        <v>0.10100000000000001</v>
      </c>
      <c r="G302">
        <v>15</v>
      </c>
      <c r="H302" t="s">
        <v>11</v>
      </c>
      <c r="I302">
        <v>11</v>
      </c>
      <c r="J302" s="1" t="s">
        <v>15</v>
      </c>
    </row>
    <row r="303" spans="1:10" x14ac:dyDescent="0.3">
      <c r="A303">
        <v>302</v>
      </c>
      <c r="B303" t="s">
        <v>2089</v>
      </c>
      <c r="C303" t="s">
        <v>1788</v>
      </c>
      <c r="D303" t="s">
        <v>15</v>
      </c>
      <c r="E303" s="1">
        <v>2171812</v>
      </c>
      <c r="F303">
        <v>0.11700000000000001</v>
      </c>
      <c r="G303">
        <v>20</v>
      </c>
      <c r="H303" t="s">
        <v>1788</v>
      </c>
      <c r="I303">
        <v>12</v>
      </c>
      <c r="J303" s="1" t="s">
        <v>793</v>
      </c>
    </row>
    <row r="304" spans="1:10" x14ac:dyDescent="0.3">
      <c r="A304">
        <v>303</v>
      </c>
      <c r="B304" t="s">
        <v>2090</v>
      </c>
      <c r="C304" t="s">
        <v>217</v>
      </c>
      <c r="D304" t="s">
        <v>795</v>
      </c>
      <c r="E304" s="1">
        <v>512792</v>
      </c>
      <c r="F304">
        <v>0.08</v>
      </c>
      <c r="G304">
        <v>20</v>
      </c>
      <c r="H304" t="s">
        <v>796</v>
      </c>
      <c r="I304">
        <v>4</v>
      </c>
      <c r="J304" s="1" t="s">
        <v>797</v>
      </c>
    </row>
    <row r="305" spans="1:10" x14ac:dyDescent="0.3">
      <c r="A305">
        <v>304</v>
      </c>
      <c r="B305" t="s">
        <v>2091</v>
      </c>
      <c r="C305" t="s">
        <v>1788</v>
      </c>
      <c r="D305" t="s">
        <v>799</v>
      </c>
      <c r="E305" s="1">
        <v>1251685</v>
      </c>
      <c r="F305">
        <v>0.105</v>
      </c>
      <c r="G305">
        <v>30</v>
      </c>
      <c r="H305" t="s">
        <v>11</v>
      </c>
      <c r="I305">
        <v>13</v>
      </c>
      <c r="J305" s="1" t="s">
        <v>15</v>
      </c>
    </row>
    <row r="306" spans="1:10" x14ac:dyDescent="0.3">
      <c r="A306">
        <v>305</v>
      </c>
      <c r="B306" t="s">
        <v>2092</v>
      </c>
      <c r="C306" t="s">
        <v>1788</v>
      </c>
      <c r="D306" t="s">
        <v>801</v>
      </c>
      <c r="E306" s="1">
        <v>1899701</v>
      </c>
      <c r="F306">
        <v>0.107</v>
      </c>
      <c r="G306">
        <v>15</v>
      </c>
      <c r="H306" t="s">
        <v>1788</v>
      </c>
      <c r="I306">
        <v>2</v>
      </c>
      <c r="J306" s="1" t="s">
        <v>15</v>
      </c>
    </row>
    <row r="307" spans="1:10" x14ac:dyDescent="0.3">
      <c r="A307">
        <v>306</v>
      </c>
      <c r="B307" t="s">
        <v>2093</v>
      </c>
      <c r="C307" t="s">
        <v>566</v>
      </c>
      <c r="D307" t="s">
        <v>803</v>
      </c>
      <c r="E307" s="1">
        <v>1112266</v>
      </c>
      <c r="F307">
        <v>0.111</v>
      </c>
      <c r="G307">
        <v>15</v>
      </c>
      <c r="H307" t="s">
        <v>11</v>
      </c>
      <c r="I307">
        <v>14</v>
      </c>
      <c r="J307" s="1" t="s">
        <v>15</v>
      </c>
    </row>
    <row r="308" spans="1:10" x14ac:dyDescent="0.3">
      <c r="A308">
        <v>307</v>
      </c>
      <c r="B308" t="s">
        <v>2094</v>
      </c>
      <c r="C308" t="s">
        <v>1788</v>
      </c>
      <c r="D308" t="s">
        <v>15</v>
      </c>
      <c r="E308" s="1">
        <v>1845768</v>
      </c>
      <c r="F308">
        <v>8.4000000000000005E-2</v>
      </c>
      <c r="G308">
        <v>25</v>
      </c>
      <c r="H308" t="s">
        <v>1788</v>
      </c>
      <c r="I308">
        <v>8</v>
      </c>
      <c r="J308" s="1" t="s">
        <v>805</v>
      </c>
    </row>
    <row r="309" spans="1:10" x14ac:dyDescent="0.3">
      <c r="A309">
        <v>308</v>
      </c>
      <c r="B309" t="s">
        <v>2095</v>
      </c>
      <c r="C309" t="s">
        <v>1788</v>
      </c>
      <c r="D309" t="s">
        <v>15</v>
      </c>
      <c r="E309" s="1">
        <v>2065343</v>
      </c>
      <c r="F309">
        <v>0.106</v>
      </c>
      <c r="G309">
        <v>25</v>
      </c>
      <c r="H309" t="s">
        <v>235</v>
      </c>
      <c r="I309">
        <v>2</v>
      </c>
      <c r="J309" s="1" t="s">
        <v>15</v>
      </c>
    </row>
    <row r="310" spans="1:10" x14ac:dyDescent="0.3">
      <c r="A310">
        <v>309</v>
      </c>
      <c r="B310" t="s">
        <v>2096</v>
      </c>
      <c r="C310" t="s">
        <v>1788</v>
      </c>
      <c r="D310" t="s">
        <v>808</v>
      </c>
      <c r="E310" s="1">
        <v>691310</v>
      </c>
      <c r="F310">
        <v>8.5999999999999993E-2</v>
      </c>
      <c r="G310">
        <v>30</v>
      </c>
      <c r="H310" t="s">
        <v>11</v>
      </c>
      <c r="I310">
        <v>5</v>
      </c>
      <c r="J310" s="1" t="s">
        <v>15</v>
      </c>
    </row>
    <row r="311" spans="1:10" x14ac:dyDescent="0.3">
      <c r="A311">
        <v>310</v>
      </c>
      <c r="B311" t="s">
        <v>2097</v>
      </c>
      <c r="C311" t="s">
        <v>1788</v>
      </c>
      <c r="D311" t="s">
        <v>810</v>
      </c>
      <c r="E311" s="1">
        <v>1832239</v>
      </c>
      <c r="F311">
        <v>8.6999999999999994E-2</v>
      </c>
      <c r="G311">
        <v>15</v>
      </c>
      <c r="H311" t="s">
        <v>11</v>
      </c>
      <c r="I311">
        <v>4</v>
      </c>
      <c r="J311" s="1" t="s">
        <v>811</v>
      </c>
    </row>
    <row r="312" spans="1:10" x14ac:dyDescent="0.3">
      <c r="A312">
        <v>311</v>
      </c>
      <c r="B312" t="s">
        <v>2098</v>
      </c>
      <c r="C312" t="s">
        <v>11</v>
      </c>
      <c r="D312" t="s">
        <v>813</v>
      </c>
      <c r="E312" s="1">
        <v>2067118</v>
      </c>
      <c r="F312">
        <v>0.104</v>
      </c>
      <c r="G312">
        <v>10</v>
      </c>
      <c r="H312" t="s">
        <v>11</v>
      </c>
      <c r="I312">
        <v>6</v>
      </c>
      <c r="J312" s="1" t="s">
        <v>15</v>
      </c>
    </row>
    <row r="313" spans="1:10" x14ac:dyDescent="0.3">
      <c r="A313">
        <v>312</v>
      </c>
      <c r="B313" t="s">
        <v>2099</v>
      </c>
      <c r="C313" t="s">
        <v>11</v>
      </c>
      <c r="D313" t="s">
        <v>815</v>
      </c>
      <c r="E313" s="1">
        <v>1608129</v>
      </c>
      <c r="F313">
        <v>8.7999999999999995E-2</v>
      </c>
      <c r="G313">
        <v>15</v>
      </c>
      <c r="H313" t="s">
        <v>772</v>
      </c>
      <c r="I313">
        <v>7</v>
      </c>
      <c r="J313" s="1" t="s">
        <v>15</v>
      </c>
    </row>
    <row r="314" spans="1:10" x14ac:dyDescent="0.3">
      <c r="A314">
        <v>313</v>
      </c>
      <c r="B314" t="s">
        <v>2100</v>
      </c>
      <c r="C314" t="s">
        <v>817</v>
      </c>
      <c r="D314" t="s">
        <v>818</v>
      </c>
      <c r="E314" s="1">
        <v>1680685</v>
      </c>
      <c r="F314">
        <v>0.12</v>
      </c>
      <c r="G314">
        <v>25</v>
      </c>
      <c r="H314" t="s">
        <v>1788</v>
      </c>
      <c r="I314">
        <v>2</v>
      </c>
      <c r="J314" s="1" t="s">
        <v>15</v>
      </c>
    </row>
    <row r="315" spans="1:10" x14ac:dyDescent="0.3">
      <c r="A315">
        <v>314</v>
      </c>
      <c r="B315" t="s">
        <v>2101</v>
      </c>
      <c r="C315" t="s">
        <v>533</v>
      </c>
      <c r="D315" t="s">
        <v>15</v>
      </c>
      <c r="E315" s="1">
        <v>1897577</v>
      </c>
      <c r="F315">
        <v>0.11700000000000001</v>
      </c>
      <c r="G315">
        <v>15</v>
      </c>
      <c r="H315" t="s">
        <v>11</v>
      </c>
      <c r="I315">
        <v>4</v>
      </c>
      <c r="J315" s="1" t="s">
        <v>820</v>
      </c>
    </row>
    <row r="316" spans="1:10" x14ac:dyDescent="0.3">
      <c r="A316">
        <v>315</v>
      </c>
      <c r="B316" t="s">
        <v>2102</v>
      </c>
      <c r="C316" t="s">
        <v>11</v>
      </c>
      <c r="D316" t="s">
        <v>822</v>
      </c>
      <c r="E316" s="1">
        <v>530223</v>
      </c>
      <c r="F316">
        <v>0.115</v>
      </c>
      <c r="G316">
        <v>15</v>
      </c>
      <c r="H316" t="s">
        <v>1788</v>
      </c>
      <c r="I316">
        <v>0</v>
      </c>
      <c r="J316" s="1" t="s">
        <v>15</v>
      </c>
    </row>
    <row r="317" spans="1:10" x14ac:dyDescent="0.3">
      <c r="A317">
        <v>316</v>
      </c>
      <c r="B317" t="s">
        <v>2103</v>
      </c>
      <c r="C317" t="s">
        <v>1788</v>
      </c>
      <c r="D317" t="s">
        <v>824</v>
      </c>
      <c r="E317" s="1">
        <v>1285412</v>
      </c>
      <c r="F317">
        <v>0.109</v>
      </c>
      <c r="G317">
        <v>20</v>
      </c>
      <c r="H317" t="s">
        <v>825</v>
      </c>
      <c r="I317">
        <v>8</v>
      </c>
      <c r="J317" s="1" t="s">
        <v>826</v>
      </c>
    </row>
    <row r="318" spans="1:10" x14ac:dyDescent="0.3">
      <c r="A318">
        <v>317</v>
      </c>
      <c r="B318" t="s">
        <v>2104</v>
      </c>
      <c r="C318" t="s">
        <v>11</v>
      </c>
      <c r="D318" t="s">
        <v>828</v>
      </c>
      <c r="E318" s="1">
        <v>1224177</v>
      </c>
      <c r="F318">
        <v>0.11899999999999999</v>
      </c>
      <c r="G318">
        <v>10</v>
      </c>
      <c r="H318" t="s">
        <v>1788</v>
      </c>
      <c r="I318">
        <v>14</v>
      </c>
      <c r="J318" s="1" t="s">
        <v>15</v>
      </c>
    </row>
    <row r="319" spans="1:10" x14ac:dyDescent="0.3">
      <c r="A319">
        <v>318</v>
      </c>
      <c r="B319" t="s">
        <v>2105</v>
      </c>
      <c r="C319" t="s">
        <v>1788</v>
      </c>
      <c r="D319" t="s">
        <v>15</v>
      </c>
      <c r="E319" s="1">
        <v>1467176</v>
      </c>
      <c r="F319">
        <v>9.7000000000000003E-2</v>
      </c>
      <c r="G319">
        <v>15</v>
      </c>
      <c r="H319" t="s">
        <v>11</v>
      </c>
      <c r="I319">
        <v>4</v>
      </c>
      <c r="J319" s="1" t="s">
        <v>830</v>
      </c>
    </row>
    <row r="320" spans="1:10" x14ac:dyDescent="0.3">
      <c r="A320">
        <v>319</v>
      </c>
      <c r="B320" t="s">
        <v>2106</v>
      </c>
      <c r="C320" t="s">
        <v>1788</v>
      </c>
      <c r="D320" t="s">
        <v>832</v>
      </c>
      <c r="E320" s="1">
        <v>2192929</v>
      </c>
      <c r="F320">
        <v>0.114</v>
      </c>
      <c r="G320">
        <v>15</v>
      </c>
      <c r="H320" t="s">
        <v>1788</v>
      </c>
      <c r="I320">
        <v>10</v>
      </c>
      <c r="J320" s="1" t="s">
        <v>833</v>
      </c>
    </row>
    <row r="321" spans="1:10" x14ac:dyDescent="0.3">
      <c r="A321">
        <v>320</v>
      </c>
      <c r="B321" t="s">
        <v>2107</v>
      </c>
      <c r="C321" t="s">
        <v>1788</v>
      </c>
      <c r="D321" t="s">
        <v>835</v>
      </c>
      <c r="E321" s="1">
        <v>826249</v>
      </c>
      <c r="F321">
        <v>0.11</v>
      </c>
      <c r="G321">
        <v>30</v>
      </c>
      <c r="H321" t="s">
        <v>836</v>
      </c>
      <c r="I321">
        <v>14</v>
      </c>
      <c r="J321" s="1" t="s">
        <v>15</v>
      </c>
    </row>
    <row r="322" spans="1:10" x14ac:dyDescent="0.3">
      <c r="A322">
        <v>321</v>
      </c>
      <c r="B322" t="s">
        <v>2108</v>
      </c>
      <c r="C322" t="s">
        <v>11</v>
      </c>
      <c r="D322" t="s">
        <v>838</v>
      </c>
      <c r="E322" s="1">
        <v>800413</v>
      </c>
      <c r="F322">
        <v>0.109</v>
      </c>
      <c r="G322">
        <v>20</v>
      </c>
      <c r="H322" t="s">
        <v>11</v>
      </c>
      <c r="I322">
        <v>1</v>
      </c>
      <c r="J322" s="1" t="s">
        <v>839</v>
      </c>
    </row>
    <row r="323" spans="1:10" x14ac:dyDescent="0.3">
      <c r="A323">
        <v>322</v>
      </c>
      <c r="B323" t="s">
        <v>2109</v>
      </c>
      <c r="C323" t="s">
        <v>11</v>
      </c>
      <c r="D323" t="s">
        <v>841</v>
      </c>
      <c r="E323" s="1">
        <v>1284684</v>
      </c>
      <c r="F323">
        <v>0.109</v>
      </c>
      <c r="G323">
        <v>15</v>
      </c>
      <c r="H323" t="s">
        <v>1788</v>
      </c>
      <c r="I323">
        <v>4</v>
      </c>
      <c r="J323" s="1" t="s">
        <v>15</v>
      </c>
    </row>
    <row r="324" spans="1:10" x14ac:dyDescent="0.3">
      <c r="A324">
        <v>323</v>
      </c>
      <c r="B324" t="s">
        <v>2110</v>
      </c>
      <c r="C324" t="s">
        <v>559</v>
      </c>
      <c r="D324" t="s">
        <v>843</v>
      </c>
      <c r="E324" s="1">
        <v>2430346</v>
      </c>
      <c r="F324">
        <v>0.109</v>
      </c>
      <c r="G324">
        <v>30</v>
      </c>
      <c r="H324" t="s">
        <v>27</v>
      </c>
      <c r="I324">
        <v>12</v>
      </c>
      <c r="J324" s="1" t="s">
        <v>844</v>
      </c>
    </row>
    <row r="325" spans="1:10" x14ac:dyDescent="0.3">
      <c r="A325">
        <v>324</v>
      </c>
      <c r="B325" t="s">
        <v>2111</v>
      </c>
      <c r="C325" t="s">
        <v>11</v>
      </c>
      <c r="D325" t="s">
        <v>15</v>
      </c>
      <c r="E325" s="1">
        <v>1355831</v>
      </c>
      <c r="F325">
        <v>0.12</v>
      </c>
      <c r="G325">
        <v>10</v>
      </c>
      <c r="H325" t="s">
        <v>1788</v>
      </c>
      <c r="I325">
        <v>0</v>
      </c>
      <c r="J325" s="1" t="s">
        <v>846</v>
      </c>
    </row>
    <row r="326" spans="1:10" x14ac:dyDescent="0.3">
      <c r="A326">
        <v>325</v>
      </c>
      <c r="B326" t="s">
        <v>2112</v>
      </c>
      <c r="C326" t="s">
        <v>817</v>
      </c>
      <c r="D326" t="s">
        <v>848</v>
      </c>
      <c r="E326" s="1">
        <v>2038572</v>
      </c>
      <c r="F326">
        <v>8.8999999999999996E-2</v>
      </c>
      <c r="G326">
        <v>15</v>
      </c>
      <c r="H326" t="s">
        <v>549</v>
      </c>
      <c r="I326">
        <v>2</v>
      </c>
      <c r="J326" s="1" t="s">
        <v>849</v>
      </c>
    </row>
    <row r="327" spans="1:10" x14ac:dyDescent="0.3">
      <c r="A327">
        <v>326</v>
      </c>
      <c r="B327" t="s">
        <v>2113</v>
      </c>
      <c r="C327" t="s">
        <v>1788</v>
      </c>
      <c r="D327" t="s">
        <v>15</v>
      </c>
      <c r="E327" s="1">
        <v>984867</v>
      </c>
      <c r="F327">
        <v>9.4E-2</v>
      </c>
      <c r="G327">
        <v>25</v>
      </c>
      <c r="H327" t="s">
        <v>11</v>
      </c>
      <c r="I327">
        <v>7</v>
      </c>
      <c r="J327" s="1" t="s">
        <v>851</v>
      </c>
    </row>
    <row r="328" spans="1:10" x14ac:dyDescent="0.3">
      <c r="A328">
        <v>327</v>
      </c>
      <c r="B328" t="s">
        <v>2114</v>
      </c>
      <c r="C328" t="s">
        <v>11</v>
      </c>
      <c r="D328" t="s">
        <v>853</v>
      </c>
      <c r="E328" s="1">
        <v>1557525</v>
      </c>
      <c r="F328">
        <v>9.0999999999999998E-2</v>
      </c>
      <c r="G328">
        <v>20</v>
      </c>
      <c r="H328" t="s">
        <v>11</v>
      </c>
      <c r="I328">
        <v>11</v>
      </c>
      <c r="J328" s="1" t="s">
        <v>854</v>
      </c>
    </row>
    <row r="329" spans="1:10" x14ac:dyDescent="0.3">
      <c r="A329">
        <v>328</v>
      </c>
      <c r="B329" t="s">
        <v>2115</v>
      </c>
      <c r="C329" t="s">
        <v>156</v>
      </c>
      <c r="D329" t="s">
        <v>15</v>
      </c>
      <c r="E329" s="1">
        <v>1701561</v>
      </c>
      <c r="F329">
        <v>0.108</v>
      </c>
      <c r="G329">
        <v>20</v>
      </c>
      <c r="H329" t="s">
        <v>856</v>
      </c>
      <c r="I329">
        <v>1</v>
      </c>
      <c r="J329" s="1" t="s">
        <v>857</v>
      </c>
    </row>
    <row r="330" spans="1:10" x14ac:dyDescent="0.3">
      <c r="A330">
        <v>329</v>
      </c>
      <c r="B330" t="s">
        <v>2116</v>
      </c>
      <c r="C330" t="s">
        <v>699</v>
      </c>
      <c r="D330" t="s">
        <v>859</v>
      </c>
      <c r="E330" s="1">
        <v>1268297</v>
      </c>
      <c r="F330">
        <v>8.5000000000000006E-2</v>
      </c>
      <c r="G330">
        <v>20</v>
      </c>
      <c r="H330" t="s">
        <v>1788</v>
      </c>
      <c r="I330">
        <v>5</v>
      </c>
      <c r="J330" s="1" t="s">
        <v>15</v>
      </c>
    </row>
    <row r="331" spans="1:10" x14ac:dyDescent="0.3">
      <c r="A331">
        <v>330</v>
      </c>
      <c r="B331" t="s">
        <v>2117</v>
      </c>
      <c r="C331" t="s">
        <v>1788</v>
      </c>
      <c r="D331" t="s">
        <v>861</v>
      </c>
      <c r="E331" s="1">
        <v>717518</v>
      </c>
      <c r="F331">
        <v>9.5000000000000001E-2</v>
      </c>
      <c r="G331">
        <v>10</v>
      </c>
      <c r="H331" t="s">
        <v>11</v>
      </c>
      <c r="I331">
        <v>15</v>
      </c>
      <c r="J331" s="1" t="s">
        <v>862</v>
      </c>
    </row>
    <row r="332" spans="1:10" x14ac:dyDescent="0.3">
      <c r="A332">
        <v>331</v>
      </c>
      <c r="B332" t="s">
        <v>2118</v>
      </c>
      <c r="C332" t="s">
        <v>11</v>
      </c>
      <c r="D332" t="s">
        <v>15</v>
      </c>
      <c r="E332" s="1">
        <v>1638619</v>
      </c>
      <c r="F332">
        <v>9.7000000000000003E-2</v>
      </c>
      <c r="G332">
        <v>30</v>
      </c>
      <c r="H332" t="s">
        <v>52</v>
      </c>
      <c r="I332">
        <v>13</v>
      </c>
      <c r="J332" s="1" t="s">
        <v>15</v>
      </c>
    </row>
    <row r="333" spans="1:10" x14ac:dyDescent="0.3">
      <c r="A333">
        <v>332</v>
      </c>
      <c r="B333" t="s">
        <v>2119</v>
      </c>
      <c r="C333" t="s">
        <v>865</v>
      </c>
      <c r="D333" t="s">
        <v>866</v>
      </c>
      <c r="E333" s="1">
        <v>2107236</v>
      </c>
      <c r="F333">
        <v>9.0999999999999998E-2</v>
      </c>
      <c r="G333">
        <v>10</v>
      </c>
      <c r="H333" t="s">
        <v>11</v>
      </c>
      <c r="I333">
        <v>15</v>
      </c>
      <c r="J333" s="1" t="s">
        <v>867</v>
      </c>
    </row>
    <row r="334" spans="1:10" x14ac:dyDescent="0.3">
      <c r="A334">
        <v>333</v>
      </c>
      <c r="B334" t="s">
        <v>2120</v>
      </c>
      <c r="C334" t="s">
        <v>156</v>
      </c>
      <c r="D334" t="s">
        <v>869</v>
      </c>
      <c r="E334" s="1">
        <v>1071511</v>
      </c>
      <c r="F334">
        <v>0.09</v>
      </c>
      <c r="G334">
        <v>30</v>
      </c>
      <c r="H334" t="s">
        <v>11</v>
      </c>
      <c r="I334">
        <v>10</v>
      </c>
      <c r="J334" s="1" t="s">
        <v>15</v>
      </c>
    </row>
    <row r="335" spans="1:10" x14ac:dyDescent="0.3">
      <c r="A335">
        <v>334</v>
      </c>
      <c r="B335" t="s">
        <v>2121</v>
      </c>
      <c r="C335" t="s">
        <v>1788</v>
      </c>
      <c r="D335" t="s">
        <v>871</v>
      </c>
      <c r="E335" s="1">
        <v>1339311</v>
      </c>
      <c r="F335">
        <v>0.109</v>
      </c>
      <c r="G335">
        <v>20</v>
      </c>
      <c r="H335" t="s">
        <v>1788</v>
      </c>
      <c r="I335">
        <v>13</v>
      </c>
      <c r="J335" s="1" t="s">
        <v>872</v>
      </c>
    </row>
    <row r="336" spans="1:10" x14ac:dyDescent="0.3">
      <c r="A336">
        <v>335</v>
      </c>
      <c r="B336" t="s">
        <v>2122</v>
      </c>
      <c r="C336" t="s">
        <v>646</v>
      </c>
      <c r="D336" t="s">
        <v>874</v>
      </c>
      <c r="E336" s="1">
        <v>2475836</v>
      </c>
      <c r="F336">
        <v>8.1000000000000003E-2</v>
      </c>
      <c r="G336">
        <v>30</v>
      </c>
      <c r="H336" t="s">
        <v>1788</v>
      </c>
      <c r="I336">
        <v>3</v>
      </c>
      <c r="J336" s="1" t="s">
        <v>15</v>
      </c>
    </row>
    <row r="337" spans="1:10" x14ac:dyDescent="0.3">
      <c r="A337">
        <v>336</v>
      </c>
      <c r="B337" t="s">
        <v>2123</v>
      </c>
      <c r="C337" t="s">
        <v>1788</v>
      </c>
      <c r="D337" t="s">
        <v>15</v>
      </c>
      <c r="E337" s="1">
        <v>741853</v>
      </c>
      <c r="F337">
        <v>9.7000000000000003E-2</v>
      </c>
      <c r="G337">
        <v>30</v>
      </c>
      <c r="H337" t="s">
        <v>1788</v>
      </c>
      <c r="I337">
        <v>8</v>
      </c>
      <c r="J337" s="1" t="s">
        <v>15</v>
      </c>
    </row>
    <row r="338" spans="1:10" x14ac:dyDescent="0.3">
      <c r="A338">
        <v>337</v>
      </c>
      <c r="B338" t="s">
        <v>2124</v>
      </c>
      <c r="C338" t="s">
        <v>1788</v>
      </c>
      <c r="D338" t="s">
        <v>877</v>
      </c>
      <c r="E338" s="1">
        <v>1013377</v>
      </c>
      <c r="F338">
        <v>0.12</v>
      </c>
      <c r="G338">
        <v>25</v>
      </c>
      <c r="H338" t="s">
        <v>878</v>
      </c>
      <c r="I338">
        <v>10</v>
      </c>
      <c r="J338" s="1" t="s">
        <v>879</v>
      </c>
    </row>
    <row r="339" spans="1:10" x14ac:dyDescent="0.3">
      <c r="A339">
        <v>338</v>
      </c>
      <c r="B339" t="s">
        <v>2125</v>
      </c>
      <c r="C339" t="s">
        <v>1788</v>
      </c>
      <c r="D339" t="s">
        <v>881</v>
      </c>
      <c r="E339" s="1">
        <v>636489</v>
      </c>
      <c r="F339">
        <v>0.107</v>
      </c>
      <c r="G339">
        <v>15</v>
      </c>
      <c r="H339" t="s">
        <v>11</v>
      </c>
      <c r="I339">
        <v>5</v>
      </c>
      <c r="J339" s="1" t="s">
        <v>15</v>
      </c>
    </row>
    <row r="340" spans="1:10" x14ac:dyDescent="0.3">
      <c r="A340">
        <v>339</v>
      </c>
      <c r="B340" t="s">
        <v>2126</v>
      </c>
      <c r="C340" t="s">
        <v>1788</v>
      </c>
      <c r="D340" t="s">
        <v>15</v>
      </c>
      <c r="E340" s="1">
        <v>1892742</v>
      </c>
      <c r="F340">
        <v>8.8999999999999996E-2</v>
      </c>
      <c r="G340">
        <v>10</v>
      </c>
      <c r="H340" t="s">
        <v>1788</v>
      </c>
      <c r="I340">
        <v>12</v>
      </c>
      <c r="J340" s="1" t="s">
        <v>883</v>
      </c>
    </row>
    <row r="341" spans="1:10" x14ac:dyDescent="0.3">
      <c r="A341">
        <v>340</v>
      </c>
      <c r="B341" t="s">
        <v>2127</v>
      </c>
      <c r="C341" t="s">
        <v>11</v>
      </c>
      <c r="D341" t="s">
        <v>885</v>
      </c>
      <c r="E341" s="1">
        <v>2095396</v>
      </c>
      <c r="F341">
        <v>0.11700000000000001</v>
      </c>
      <c r="G341">
        <v>20</v>
      </c>
      <c r="H341" t="s">
        <v>11</v>
      </c>
      <c r="I341">
        <v>2</v>
      </c>
      <c r="J341" s="1" t="s">
        <v>886</v>
      </c>
    </row>
    <row r="342" spans="1:10" x14ac:dyDescent="0.3">
      <c r="A342">
        <v>341</v>
      </c>
      <c r="B342" t="s">
        <v>2128</v>
      </c>
      <c r="C342" t="s">
        <v>1788</v>
      </c>
      <c r="D342" t="s">
        <v>888</v>
      </c>
      <c r="E342" s="1">
        <v>2410998</v>
      </c>
      <c r="F342">
        <v>8.1000000000000003E-2</v>
      </c>
      <c r="G342">
        <v>20</v>
      </c>
      <c r="H342" t="s">
        <v>1788</v>
      </c>
      <c r="I342">
        <v>8</v>
      </c>
      <c r="J342" s="1" t="s">
        <v>889</v>
      </c>
    </row>
    <row r="343" spans="1:10" x14ac:dyDescent="0.3">
      <c r="A343">
        <v>342</v>
      </c>
      <c r="B343" t="s">
        <v>2129</v>
      </c>
      <c r="C343" t="s">
        <v>1788</v>
      </c>
      <c r="D343" t="s">
        <v>15</v>
      </c>
      <c r="E343" s="1">
        <v>1832175</v>
      </c>
      <c r="F343">
        <v>9.7000000000000003E-2</v>
      </c>
      <c r="G343">
        <v>15</v>
      </c>
      <c r="H343" t="s">
        <v>891</v>
      </c>
      <c r="I343">
        <v>6</v>
      </c>
      <c r="J343" s="1" t="s">
        <v>15</v>
      </c>
    </row>
    <row r="344" spans="1:10" x14ac:dyDescent="0.3">
      <c r="A344">
        <v>343</v>
      </c>
      <c r="B344" t="s">
        <v>2130</v>
      </c>
      <c r="C344" t="s">
        <v>11</v>
      </c>
      <c r="D344" t="s">
        <v>15</v>
      </c>
      <c r="E344" s="1">
        <v>1234067</v>
      </c>
      <c r="F344">
        <v>0.107</v>
      </c>
      <c r="G344">
        <v>25</v>
      </c>
      <c r="H344" t="s">
        <v>893</v>
      </c>
      <c r="I344">
        <v>12</v>
      </c>
      <c r="J344" s="1" t="s">
        <v>15</v>
      </c>
    </row>
    <row r="345" spans="1:10" x14ac:dyDescent="0.3">
      <c r="A345">
        <v>344</v>
      </c>
      <c r="B345" t="s">
        <v>2131</v>
      </c>
      <c r="C345" t="s">
        <v>1788</v>
      </c>
      <c r="D345" t="s">
        <v>895</v>
      </c>
      <c r="E345" s="1">
        <v>939828</v>
      </c>
      <c r="F345">
        <v>0.108</v>
      </c>
      <c r="G345">
        <v>15</v>
      </c>
      <c r="H345" t="s">
        <v>1788</v>
      </c>
      <c r="I345">
        <v>13</v>
      </c>
      <c r="J345" s="1" t="s">
        <v>896</v>
      </c>
    </row>
    <row r="346" spans="1:10" x14ac:dyDescent="0.3">
      <c r="A346">
        <v>345</v>
      </c>
      <c r="B346" t="s">
        <v>2132</v>
      </c>
      <c r="C346" t="s">
        <v>265</v>
      </c>
      <c r="D346" t="s">
        <v>898</v>
      </c>
      <c r="E346" s="1">
        <v>2014854</v>
      </c>
      <c r="F346">
        <v>0.114</v>
      </c>
      <c r="G346">
        <v>25</v>
      </c>
      <c r="H346" t="s">
        <v>11</v>
      </c>
      <c r="I346">
        <v>9</v>
      </c>
      <c r="J346" s="1" t="s">
        <v>899</v>
      </c>
    </row>
    <row r="347" spans="1:10" x14ac:dyDescent="0.3">
      <c r="A347">
        <v>346</v>
      </c>
      <c r="B347" t="s">
        <v>2133</v>
      </c>
      <c r="C347" t="s">
        <v>11</v>
      </c>
      <c r="D347" t="s">
        <v>901</v>
      </c>
      <c r="E347" s="1">
        <v>1008835</v>
      </c>
      <c r="F347">
        <v>9.9000000000000005E-2</v>
      </c>
      <c r="G347">
        <v>15</v>
      </c>
      <c r="H347" t="s">
        <v>1788</v>
      </c>
      <c r="I347">
        <v>14</v>
      </c>
      <c r="J347" s="1" t="s">
        <v>902</v>
      </c>
    </row>
    <row r="348" spans="1:10" x14ac:dyDescent="0.3">
      <c r="A348">
        <v>347</v>
      </c>
      <c r="B348" t="s">
        <v>2134</v>
      </c>
      <c r="C348" t="s">
        <v>11</v>
      </c>
      <c r="D348" t="s">
        <v>15</v>
      </c>
      <c r="E348" s="1">
        <v>990109</v>
      </c>
      <c r="F348">
        <v>0.11</v>
      </c>
      <c r="G348">
        <v>30</v>
      </c>
      <c r="H348" t="s">
        <v>1788</v>
      </c>
      <c r="I348">
        <v>15</v>
      </c>
      <c r="J348" s="1" t="s">
        <v>904</v>
      </c>
    </row>
    <row r="349" spans="1:10" x14ac:dyDescent="0.3">
      <c r="A349">
        <v>348</v>
      </c>
      <c r="B349" t="s">
        <v>2135</v>
      </c>
      <c r="C349" t="s">
        <v>11</v>
      </c>
      <c r="D349" t="s">
        <v>15</v>
      </c>
      <c r="E349" s="1">
        <v>2457812</v>
      </c>
      <c r="F349">
        <v>9.1999999999999998E-2</v>
      </c>
      <c r="G349">
        <v>20</v>
      </c>
      <c r="H349" t="s">
        <v>1788</v>
      </c>
      <c r="I349">
        <v>3</v>
      </c>
      <c r="J349" s="1" t="s">
        <v>906</v>
      </c>
    </row>
    <row r="350" spans="1:10" x14ac:dyDescent="0.3">
      <c r="A350">
        <v>349</v>
      </c>
      <c r="B350" t="s">
        <v>2136</v>
      </c>
      <c r="C350" t="s">
        <v>11</v>
      </c>
      <c r="D350" t="s">
        <v>908</v>
      </c>
      <c r="E350" s="1">
        <v>2464673</v>
      </c>
      <c r="F350">
        <v>0.104</v>
      </c>
      <c r="G350">
        <v>30</v>
      </c>
      <c r="H350" t="s">
        <v>909</v>
      </c>
      <c r="I350">
        <v>4</v>
      </c>
      <c r="J350" s="1" t="s">
        <v>910</v>
      </c>
    </row>
    <row r="351" spans="1:10" x14ac:dyDescent="0.3">
      <c r="A351">
        <v>350</v>
      </c>
      <c r="B351" t="s">
        <v>2137</v>
      </c>
      <c r="C351" t="s">
        <v>1788</v>
      </c>
      <c r="D351" t="s">
        <v>912</v>
      </c>
      <c r="E351" s="1">
        <v>507389</v>
      </c>
      <c r="F351">
        <v>0.10199999999999999</v>
      </c>
      <c r="G351">
        <v>20</v>
      </c>
      <c r="H351" t="s">
        <v>11</v>
      </c>
      <c r="I351">
        <v>10</v>
      </c>
      <c r="J351" s="1" t="s">
        <v>15</v>
      </c>
    </row>
    <row r="352" spans="1:10" x14ac:dyDescent="0.3">
      <c r="A352">
        <v>351</v>
      </c>
      <c r="B352" t="s">
        <v>2138</v>
      </c>
      <c r="C352" t="s">
        <v>11</v>
      </c>
      <c r="D352" t="s">
        <v>914</v>
      </c>
      <c r="E352" s="1">
        <v>1959697</v>
      </c>
      <c r="F352">
        <v>0.11</v>
      </c>
      <c r="G352">
        <v>20</v>
      </c>
      <c r="H352" t="s">
        <v>1788</v>
      </c>
      <c r="I352">
        <v>4</v>
      </c>
      <c r="J352" s="1" t="s">
        <v>15</v>
      </c>
    </row>
    <row r="353" spans="1:10" x14ac:dyDescent="0.3">
      <c r="A353">
        <v>352</v>
      </c>
      <c r="B353" t="s">
        <v>2139</v>
      </c>
      <c r="C353" t="s">
        <v>11</v>
      </c>
      <c r="D353" t="s">
        <v>916</v>
      </c>
      <c r="E353" s="1">
        <v>1813681</v>
      </c>
      <c r="F353">
        <v>9.2999999999999999E-2</v>
      </c>
      <c r="G353">
        <v>25</v>
      </c>
      <c r="H353" t="s">
        <v>917</v>
      </c>
      <c r="I353">
        <v>6</v>
      </c>
      <c r="J353" s="1" t="s">
        <v>15</v>
      </c>
    </row>
    <row r="354" spans="1:10" x14ac:dyDescent="0.3">
      <c r="A354">
        <v>353</v>
      </c>
      <c r="B354" t="s">
        <v>2140</v>
      </c>
      <c r="C354" t="s">
        <v>1788</v>
      </c>
      <c r="D354" t="s">
        <v>919</v>
      </c>
      <c r="E354" s="1">
        <v>1194154</v>
      </c>
      <c r="F354">
        <v>0.11799999999999999</v>
      </c>
      <c r="G354">
        <v>20</v>
      </c>
      <c r="H354" t="s">
        <v>920</v>
      </c>
      <c r="I354">
        <v>8</v>
      </c>
      <c r="J354" s="1" t="s">
        <v>15</v>
      </c>
    </row>
    <row r="355" spans="1:10" x14ac:dyDescent="0.3">
      <c r="A355">
        <v>354</v>
      </c>
      <c r="B355" t="s">
        <v>2141</v>
      </c>
      <c r="C355" t="s">
        <v>865</v>
      </c>
      <c r="D355" t="s">
        <v>922</v>
      </c>
      <c r="E355" s="1">
        <v>744985</v>
      </c>
      <c r="F355">
        <v>0.115</v>
      </c>
      <c r="G355">
        <v>25</v>
      </c>
      <c r="H355" t="s">
        <v>11</v>
      </c>
      <c r="I355">
        <v>14</v>
      </c>
      <c r="J355" s="1" t="s">
        <v>923</v>
      </c>
    </row>
    <row r="356" spans="1:10" x14ac:dyDescent="0.3">
      <c r="A356">
        <v>355</v>
      </c>
      <c r="B356" t="s">
        <v>2142</v>
      </c>
      <c r="C356" t="s">
        <v>11</v>
      </c>
      <c r="D356" t="s">
        <v>925</v>
      </c>
      <c r="E356" s="1">
        <v>1138013</v>
      </c>
      <c r="F356">
        <v>0.10299999999999999</v>
      </c>
      <c r="G356">
        <v>25</v>
      </c>
      <c r="H356" t="s">
        <v>11</v>
      </c>
      <c r="I356">
        <v>8</v>
      </c>
      <c r="J356" s="1" t="s">
        <v>15</v>
      </c>
    </row>
    <row r="357" spans="1:10" x14ac:dyDescent="0.3">
      <c r="A357">
        <v>356</v>
      </c>
      <c r="B357" t="s">
        <v>2143</v>
      </c>
      <c r="C357" t="s">
        <v>695</v>
      </c>
      <c r="D357" t="s">
        <v>927</v>
      </c>
      <c r="E357" s="1">
        <v>1020582</v>
      </c>
      <c r="F357">
        <v>0.10100000000000001</v>
      </c>
      <c r="G357">
        <v>30</v>
      </c>
      <c r="H357" t="s">
        <v>928</v>
      </c>
      <c r="I357">
        <v>6</v>
      </c>
      <c r="J357" s="1" t="s">
        <v>15</v>
      </c>
    </row>
    <row r="358" spans="1:10" x14ac:dyDescent="0.3">
      <c r="A358">
        <v>357</v>
      </c>
      <c r="B358" t="s">
        <v>2144</v>
      </c>
      <c r="C358" t="s">
        <v>1788</v>
      </c>
      <c r="D358" t="s">
        <v>930</v>
      </c>
      <c r="E358" s="1">
        <v>2007778</v>
      </c>
      <c r="F358">
        <v>9.1999999999999998E-2</v>
      </c>
      <c r="G358">
        <v>25</v>
      </c>
      <c r="H358" t="s">
        <v>397</v>
      </c>
      <c r="I358">
        <v>14</v>
      </c>
      <c r="J358" s="1" t="s">
        <v>931</v>
      </c>
    </row>
    <row r="359" spans="1:10" x14ac:dyDescent="0.3">
      <c r="A359">
        <v>358</v>
      </c>
      <c r="B359" t="s">
        <v>2145</v>
      </c>
      <c r="C359" t="s">
        <v>88</v>
      </c>
      <c r="D359" t="s">
        <v>933</v>
      </c>
      <c r="E359" s="1">
        <v>1571594</v>
      </c>
      <c r="F359">
        <v>8.6999999999999994E-2</v>
      </c>
      <c r="G359">
        <v>30</v>
      </c>
      <c r="H359" t="s">
        <v>1788</v>
      </c>
      <c r="I359">
        <v>11</v>
      </c>
      <c r="J359" s="1" t="s">
        <v>15</v>
      </c>
    </row>
    <row r="360" spans="1:10" x14ac:dyDescent="0.3">
      <c r="A360">
        <v>359</v>
      </c>
      <c r="B360" t="s">
        <v>2146</v>
      </c>
      <c r="C360" t="s">
        <v>11</v>
      </c>
      <c r="D360" t="s">
        <v>935</v>
      </c>
      <c r="E360" s="1">
        <v>1712717</v>
      </c>
      <c r="F360">
        <v>0.11600000000000001</v>
      </c>
      <c r="G360">
        <v>30</v>
      </c>
      <c r="H360" t="s">
        <v>603</v>
      </c>
      <c r="I360">
        <v>2</v>
      </c>
      <c r="J360" s="1" t="s">
        <v>936</v>
      </c>
    </row>
    <row r="361" spans="1:10" x14ac:dyDescent="0.3">
      <c r="A361">
        <v>360</v>
      </c>
      <c r="B361" t="s">
        <v>2147</v>
      </c>
      <c r="C361" t="s">
        <v>1788</v>
      </c>
      <c r="D361" t="s">
        <v>15</v>
      </c>
      <c r="E361" s="1">
        <v>1533780</v>
      </c>
      <c r="F361">
        <v>8.5999999999999993E-2</v>
      </c>
      <c r="G361">
        <v>15</v>
      </c>
      <c r="H361" t="s">
        <v>11</v>
      </c>
      <c r="I361">
        <v>1</v>
      </c>
      <c r="J361" s="1" t="s">
        <v>938</v>
      </c>
    </row>
    <row r="362" spans="1:10" x14ac:dyDescent="0.3">
      <c r="A362">
        <v>361</v>
      </c>
      <c r="B362" t="s">
        <v>2148</v>
      </c>
      <c r="C362" t="s">
        <v>40</v>
      </c>
      <c r="D362" t="s">
        <v>940</v>
      </c>
      <c r="E362" s="1">
        <v>1548635</v>
      </c>
      <c r="F362">
        <v>9.9000000000000005E-2</v>
      </c>
      <c r="G362">
        <v>10</v>
      </c>
      <c r="H362" t="s">
        <v>941</v>
      </c>
      <c r="I362">
        <v>13</v>
      </c>
      <c r="J362" s="1" t="s">
        <v>942</v>
      </c>
    </row>
    <row r="363" spans="1:10" x14ac:dyDescent="0.3">
      <c r="A363">
        <v>362</v>
      </c>
      <c r="B363" t="s">
        <v>2149</v>
      </c>
      <c r="C363" t="s">
        <v>11</v>
      </c>
      <c r="D363" t="s">
        <v>944</v>
      </c>
      <c r="E363" s="1">
        <v>2272827</v>
      </c>
      <c r="F363">
        <v>0.11600000000000001</v>
      </c>
      <c r="G363">
        <v>30</v>
      </c>
      <c r="H363" t="s">
        <v>11</v>
      </c>
      <c r="I363">
        <v>11</v>
      </c>
      <c r="J363" s="1" t="s">
        <v>945</v>
      </c>
    </row>
    <row r="364" spans="1:10" x14ac:dyDescent="0.3">
      <c r="A364">
        <v>363</v>
      </c>
      <c r="B364" t="s">
        <v>2150</v>
      </c>
      <c r="C364" t="s">
        <v>11</v>
      </c>
      <c r="D364" t="s">
        <v>947</v>
      </c>
      <c r="E364" s="1">
        <v>1292886</v>
      </c>
      <c r="F364">
        <v>9.0999999999999998E-2</v>
      </c>
      <c r="G364">
        <v>20</v>
      </c>
      <c r="H364" t="s">
        <v>11</v>
      </c>
      <c r="I364">
        <v>0</v>
      </c>
      <c r="J364" s="1" t="s">
        <v>948</v>
      </c>
    </row>
    <row r="365" spans="1:10" x14ac:dyDescent="0.3">
      <c r="A365">
        <v>364</v>
      </c>
      <c r="B365" t="s">
        <v>2151</v>
      </c>
      <c r="C365" t="s">
        <v>385</v>
      </c>
      <c r="D365" t="s">
        <v>950</v>
      </c>
      <c r="E365" s="1">
        <v>2312901</v>
      </c>
      <c r="F365">
        <v>9.9000000000000005E-2</v>
      </c>
      <c r="G365">
        <v>25</v>
      </c>
      <c r="H365" t="s">
        <v>1788</v>
      </c>
      <c r="I365">
        <v>4</v>
      </c>
      <c r="J365" s="1" t="s">
        <v>15</v>
      </c>
    </row>
    <row r="366" spans="1:10" x14ac:dyDescent="0.3">
      <c r="A366">
        <v>365</v>
      </c>
      <c r="B366" t="s">
        <v>2152</v>
      </c>
      <c r="C366" t="s">
        <v>11</v>
      </c>
      <c r="D366" t="s">
        <v>15</v>
      </c>
      <c r="E366" s="1">
        <v>794591</v>
      </c>
      <c r="F366">
        <v>0.12</v>
      </c>
      <c r="G366">
        <v>20</v>
      </c>
      <c r="H366" t="s">
        <v>1788</v>
      </c>
      <c r="I366">
        <v>5</v>
      </c>
      <c r="J366" s="1" t="s">
        <v>952</v>
      </c>
    </row>
    <row r="367" spans="1:10" x14ac:dyDescent="0.3">
      <c r="A367">
        <v>366</v>
      </c>
      <c r="B367" t="s">
        <v>2153</v>
      </c>
      <c r="C367" t="s">
        <v>523</v>
      </c>
      <c r="D367" t="s">
        <v>954</v>
      </c>
      <c r="E367" s="1">
        <v>2242134</v>
      </c>
      <c r="F367">
        <v>0.11700000000000001</v>
      </c>
      <c r="G367">
        <v>25</v>
      </c>
      <c r="H367" t="s">
        <v>1788</v>
      </c>
      <c r="I367">
        <v>2</v>
      </c>
      <c r="J367" s="1" t="s">
        <v>15</v>
      </c>
    </row>
    <row r="368" spans="1:10" x14ac:dyDescent="0.3">
      <c r="A368">
        <v>367</v>
      </c>
      <c r="B368" t="s">
        <v>2154</v>
      </c>
      <c r="C368" t="s">
        <v>11</v>
      </c>
      <c r="D368" t="s">
        <v>956</v>
      </c>
      <c r="E368" s="1">
        <v>1363583</v>
      </c>
      <c r="F368">
        <v>0.11</v>
      </c>
      <c r="G368">
        <v>15</v>
      </c>
      <c r="H368" t="s">
        <v>1788</v>
      </c>
      <c r="I368">
        <v>12</v>
      </c>
      <c r="J368" s="1" t="s">
        <v>957</v>
      </c>
    </row>
    <row r="369" spans="1:10" x14ac:dyDescent="0.3">
      <c r="A369">
        <v>368</v>
      </c>
      <c r="B369" t="s">
        <v>2155</v>
      </c>
      <c r="C369" t="s">
        <v>11</v>
      </c>
      <c r="D369" t="s">
        <v>959</v>
      </c>
      <c r="E369" s="1">
        <v>1808165</v>
      </c>
      <c r="F369">
        <v>0.104</v>
      </c>
      <c r="G369">
        <v>30</v>
      </c>
      <c r="H369" t="s">
        <v>84</v>
      </c>
      <c r="I369">
        <v>15</v>
      </c>
      <c r="J369" s="1" t="s">
        <v>960</v>
      </c>
    </row>
    <row r="370" spans="1:10" x14ac:dyDescent="0.3">
      <c r="A370">
        <v>369</v>
      </c>
      <c r="B370" t="s">
        <v>2156</v>
      </c>
      <c r="C370" t="s">
        <v>1788</v>
      </c>
      <c r="D370" t="s">
        <v>962</v>
      </c>
      <c r="E370" s="1">
        <v>1710250</v>
      </c>
      <c r="F370">
        <v>0.114</v>
      </c>
      <c r="G370">
        <v>25</v>
      </c>
      <c r="H370" t="s">
        <v>1788</v>
      </c>
      <c r="I370">
        <v>5</v>
      </c>
      <c r="J370" s="1" t="s">
        <v>963</v>
      </c>
    </row>
    <row r="371" spans="1:10" x14ac:dyDescent="0.3">
      <c r="A371">
        <v>370</v>
      </c>
      <c r="B371" t="s">
        <v>2157</v>
      </c>
      <c r="C371" t="s">
        <v>1788</v>
      </c>
      <c r="D371" t="s">
        <v>965</v>
      </c>
      <c r="E371" s="1">
        <v>1930374</v>
      </c>
      <c r="F371">
        <v>0.11600000000000001</v>
      </c>
      <c r="G371">
        <v>20</v>
      </c>
      <c r="H371" t="s">
        <v>11</v>
      </c>
      <c r="I371">
        <v>9</v>
      </c>
      <c r="J371" s="1" t="s">
        <v>966</v>
      </c>
    </row>
    <row r="372" spans="1:10" x14ac:dyDescent="0.3">
      <c r="A372">
        <v>371</v>
      </c>
      <c r="B372" t="s">
        <v>2158</v>
      </c>
      <c r="C372" t="s">
        <v>1788</v>
      </c>
      <c r="D372" t="s">
        <v>15</v>
      </c>
      <c r="E372" s="1">
        <v>1933553</v>
      </c>
      <c r="F372">
        <v>0.109</v>
      </c>
      <c r="G372">
        <v>30</v>
      </c>
      <c r="H372" t="s">
        <v>11</v>
      </c>
      <c r="I372">
        <v>13</v>
      </c>
      <c r="J372" s="1" t="s">
        <v>15</v>
      </c>
    </row>
    <row r="373" spans="1:10" x14ac:dyDescent="0.3">
      <c r="A373">
        <v>372</v>
      </c>
      <c r="B373" t="s">
        <v>2159</v>
      </c>
      <c r="C373" t="s">
        <v>11</v>
      </c>
      <c r="D373" t="s">
        <v>969</v>
      </c>
      <c r="E373" s="1">
        <v>2340043</v>
      </c>
      <c r="F373">
        <v>8.8999999999999996E-2</v>
      </c>
      <c r="G373">
        <v>20</v>
      </c>
      <c r="H373" t="s">
        <v>970</v>
      </c>
      <c r="I373">
        <v>14</v>
      </c>
      <c r="J373" s="1" t="s">
        <v>971</v>
      </c>
    </row>
    <row r="374" spans="1:10" x14ac:dyDescent="0.3">
      <c r="A374">
        <v>373</v>
      </c>
      <c r="B374" t="s">
        <v>2160</v>
      </c>
      <c r="C374" t="s">
        <v>1788</v>
      </c>
      <c r="D374" t="s">
        <v>973</v>
      </c>
      <c r="E374" s="1">
        <v>2165277</v>
      </c>
      <c r="F374">
        <v>0.105</v>
      </c>
      <c r="G374">
        <v>15</v>
      </c>
      <c r="H374" t="s">
        <v>1788</v>
      </c>
      <c r="I374">
        <v>8</v>
      </c>
      <c r="J374" s="1" t="s">
        <v>974</v>
      </c>
    </row>
    <row r="375" spans="1:10" x14ac:dyDescent="0.3">
      <c r="A375">
        <v>374</v>
      </c>
      <c r="B375" t="s">
        <v>2161</v>
      </c>
      <c r="C375" t="s">
        <v>1788</v>
      </c>
      <c r="D375" t="s">
        <v>15</v>
      </c>
      <c r="E375" s="1">
        <v>1419484</v>
      </c>
      <c r="F375">
        <v>0.11</v>
      </c>
      <c r="G375">
        <v>20</v>
      </c>
      <c r="H375" t="s">
        <v>1788</v>
      </c>
      <c r="I375">
        <v>10</v>
      </c>
      <c r="J375" s="1" t="s">
        <v>15</v>
      </c>
    </row>
    <row r="376" spans="1:10" x14ac:dyDescent="0.3">
      <c r="A376">
        <v>375</v>
      </c>
      <c r="B376" t="s">
        <v>2162</v>
      </c>
      <c r="C376" t="s">
        <v>11</v>
      </c>
      <c r="D376" t="s">
        <v>977</v>
      </c>
      <c r="E376" s="1">
        <v>1703343</v>
      </c>
      <c r="F376">
        <v>0.11600000000000001</v>
      </c>
      <c r="G376">
        <v>10</v>
      </c>
      <c r="H376" t="s">
        <v>734</v>
      </c>
      <c r="I376">
        <v>14</v>
      </c>
      <c r="J376" s="1" t="s">
        <v>15</v>
      </c>
    </row>
    <row r="377" spans="1:10" x14ac:dyDescent="0.3">
      <c r="A377">
        <v>376</v>
      </c>
      <c r="B377" t="s">
        <v>2163</v>
      </c>
      <c r="C377" t="s">
        <v>1788</v>
      </c>
      <c r="D377" t="s">
        <v>15</v>
      </c>
      <c r="E377" s="1">
        <v>2379876</v>
      </c>
      <c r="F377">
        <v>9.8000000000000004E-2</v>
      </c>
      <c r="G377">
        <v>20</v>
      </c>
      <c r="H377" t="s">
        <v>11</v>
      </c>
      <c r="I377">
        <v>15</v>
      </c>
      <c r="J377" s="1" t="s">
        <v>15</v>
      </c>
    </row>
    <row r="378" spans="1:10" x14ac:dyDescent="0.3">
      <c r="A378">
        <v>377</v>
      </c>
      <c r="B378" t="s">
        <v>2164</v>
      </c>
      <c r="C378" t="s">
        <v>26</v>
      </c>
      <c r="D378" t="s">
        <v>980</v>
      </c>
      <c r="E378" s="1">
        <v>1941066</v>
      </c>
      <c r="F378">
        <v>0.111</v>
      </c>
      <c r="G378">
        <v>25</v>
      </c>
      <c r="H378" t="s">
        <v>981</v>
      </c>
      <c r="I378">
        <v>4</v>
      </c>
      <c r="J378" s="1" t="s">
        <v>982</v>
      </c>
    </row>
    <row r="379" spans="1:10" x14ac:dyDescent="0.3">
      <c r="A379">
        <v>378</v>
      </c>
      <c r="B379" t="s">
        <v>2165</v>
      </c>
      <c r="C379" t="s">
        <v>160</v>
      </c>
      <c r="D379" t="s">
        <v>984</v>
      </c>
      <c r="E379" s="1">
        <v>723011</v>
      </c>
      <c r="F379">
        <v>0.105</v>
      </c>
      <c r="G379">
        <v>20</v>
      </c>
      <c r="H379" t="s">
        <v>985</v>
      </c>
      <c r="I379">
        <v>15</v>
      </c>
      <c r="J379" s="1" t="s">
        <v>15</v>
      </c>
    </row>
    <row r="380" spans="1:10" x14ac:dyDescent="0.3">
      <c r="A380">
        <v>379</v>
      </c>
      <c r="B380" t="s">
        <v>2166</v>
      </c>
      <c r="C380" t="s">
        <v>330</v>
      </c>
      <c r="D380" t="s">
        <v>987</v>
      </c>
      <c r="E380" s="1">
        <v>1556860</v>
      </c>
      <c r="F380">
        <v>0.106</v>
      </c>
      <c r="G380">
        <v>25</v>
      </c>
      <c r="H380" t="s">
        <v>1788</v>
      </c>
      <c r="I380">
        <v>11</v>
      </c>
      <c r="J380" s="1" t="s">
        <v>988</v>
      </c>
    </row>
    <row r="381" spans="1:10" x14ac:dyDescent="0.3">
      <c r="A381">
        <v>380</v>
      </c>
      <c r="B381" t="s">
        <v>2167</v>
      </c>
      <c r="C381" t="s">
        <v>435</v>
      </c>
      <c r="D381" t="s">
        <v>990</v>
      </c>
      <c r="E381" s="1">
        <v>1625606</v>
      </c>
      <c r="F381">
        <v>0.106</v>
      </c>
      <c r="G381">
        <v>15</v>
      </c>
      <c r="H381" t="s">
        <v>1788</v>
      </c>
      <c r="I381">
        <v>11</v>
      </c>
      <c r="J381" s="1" t="s">
        <v>15</v>
      </c>
    </row>
    <row r="382" spans="1:10" x14ac:dyDescent="0.3">
      <c r="A382">
        <v>381</v>
      </c>
      <c r="B382" t="s">
        <v>2168</v>
      </c>
      <c r="C382" t="s">
        <v>1788</v>
      </c>
      <c r="D382" t="s">
        <v>15</v>
      </c>
      <c r="E382" s="1">
        <v>615822</v>
      </c>
      <c r="F382">
        <v>0.11600000000000001</v>
      </c>
      <c r="G382">
        <v>25</v>
      </c>
      <c r="H382" t="s">
        <v>992</v>
      </c>
      <c r="I382">
        <v>13</v>
      </c>
      <c r="J382" s="1" t="s">
        <v>993</v>
      </c>
    </row>
    <row r="383" spans="1:10" x14ac:dyDescent="0.3">
      <c r="A383">
        <v>382</v>
      </c>
      <c r="B383" t="s">
        <v>2169</v>
      </c>
      <c r="C383" t="s">
        <v>11</v>
      </c>
      <c r="D383" t="s">
        <v>995</v>
      </c>
      <c r="E383" s="1">
        <v>1142461</v>
      </c>
      <c r="F383">
        <v>0.114</v>
      </c>
      <c r="G383">
        <v>25</v>
      </c>
      <c r="H383" t="s">
        <v>996</v>
      </c>
      <c r="I383">
        <v>14</v>
      </c>
      <c r="J383" s="1" t="s">
        <v>15</v>
      </c>
    </row>
    <row r="384" spans="1:10" x14ac:dyDescent="0.3">
      <c r="A384">
        <v>383</v>
      </c>
      <c r="B384" t="s">
        <v>2170</v>
      </c>
      <c r="C384" t="s">
        <v>11</v>
      </c>
      <c r="D384" t="s">
        <v>15</v>
      </c>
      <c r="E384" s="1">
        <v>658588</v>
      </c>
      <c r="F384">
        <v>0.106</v>
      </c>
      <c r="G384">
        <v>25</v>
      </c>
      <c r="H384" t="s">
        <v>11</v>
      </c>
      <c r="I384">
        <v>9</v>
      </c>
      <c r="J384" s="1" t="s">
        <v>15</v>
      </c>
    </row>
    <row r="385" spans="1:10" x14ac:dyDescent="0.3">
      <c r="A385">
        <v>384</v>
      </c>
      <c r="B385" t="s">
        <v>2171</v>
      </c>
      <c r="C385" t="s">
        <v>1788</v>
      </c>
      <c r="D385" t="s">
        <v>999</v>
      </c>
      <c r="E385" s="1">
        <v>599378</v>
      </c>
      <c r="F385">
        <v>0.111</v>
      </c>
      <c r="G385">
        <v>30</v>
      </c>
      <c r="H385" t="s">
        <v>1000</v>
      </c>
      <c r="I385">
        <v>10</v>
      </c>
      <c r="J385" s="1" t="s">
        <v>1001</v>
      </c>
    </row>
    <row r="386" spans="1:10" x14ac:dyDescent="0.3">
      <c r="A386">
        <v>385</v>
      </c>
      <c r="B386" t="s">
        <v>2172</v>
      </c>
      <c r="C386" t="s">
        <v>1788</v>
      </c>
      <c r="D386" t="s">
        <v>1003</v>
      </c>
      <c r="E386" s="1">
        <v>1189406</v>
      </c>
      <c r="F386">
        <v>0.108</v>
      </c>
      <c r="G386">
        <v>10</v>
      </c>
      <c r="H386" t="s">
        <v>189</v>
      </c>
      <c r="I386">
        <v>7</v>
      </c>
      <c r="J386" s="1" t="s">
        <v>1004</v>
      </c>
    </row>
    <row r="387" spans="1:10" x14ac:dyDescent="0.3">
      <c r="A387">
        <v>386</v>
      </c>
      <c r="B387" t="s">
        <v>2173</v>
      </c>
      <c r="C387" t="s">
        <v>1788</v>
      </c>
      <c r="D387" t="s">
        <v>15</v>
      </c>
      <c r="E387" s="1">
        <v>2032239</v>
      </c>
      <c r="F387">
        <v>9.5000000000000001E-2</v>
      </c>
      <c r="G387">
        <v>20</v>
      </c>
      <c r="H387" t="s">
        <v>1006</v>
      </c>
      <c r="I387">
        <v>12</v>
      </c>
      <c r="J387" s="1" t="s">
        <v>1007</v>
      </c>
    </row>
    <row r="388" spans="1:10" x14ac:dyDescent="0.3">
      <c r="A388">
        <v>387</v>
      </c>
      <c r="B388" t="s">
        <v>2174</v>
      </c>
      <c r="C388" t="s">
        <v>1788</v>
      </c>
      <c r="D388" t="s">
        <v>1009</v>
      </c>
      <c r="E388" s="1">
        <v>1665523</v>
      </c>
      <c r="F388">
        <v>9.1999999999999998E-2</v>
      </c>
      <c r="G388">
        <v>20</v>
      </c>
      <c r="H388" t="s">
        <v>11</v>
      </c>
      <c r="I388">
        <v>15</v>
      </c>
      <c r="J388" s="1" t="s">
        <v>15</v>
      </c>
    </row>
    <row r="389" spans="1:10" x14ac:dyDescent="0.3">
      <c r="A389">
        <v>388</v>
      </c>
      <c r="B389" t="s">
        <v>2175</v>
      </c>
      <c r="C389" t="s">
        <v>11</v>
      </c>
      <c r="D389" t="s">
        <v>1011</v>
      </c>
      <c r="E389" s="1">
        <v>1186725</v>
      </c>
      <c r="F389">
        <v>0.108</v>
      </c>
      <c r="G389">
        <v>10</v>
      </c>
      <c r="H389" t="s">
        <v>11</v>
      </c>
      <c r="I389">
        <v>1</v>
      </c>
      <c r="J389" s="1" t="s">
        <v>1012</v>
      </c>
    </row>
    <row r="390" spans="1:10" x14ac:dyDescent="0.3">
      <c r="A390">
        <v>389</v>
      </c>
      <c r="B390" t="s">
        <v>2176</v>
      </c>
      <c r="C390" t="s">
        <v>11</v>
      </c>
      <c r="D390" t="s">
        <v>1014</v>
      </c>
      <c r="E390" s="1">
        <v>1632538</v>
      </c>
      <c r="F390">
        <v>9.1999999999999998E-2</v>
      </c>
      <c r="G390">
        <v>20</v>
      </c>
      <c r="H390" t="s">
        <v>518</v>
      </c>
      <c r="I390">
        <v>10</v>
      </c>
      <c r="J390" s="1" t="s">
        <v>15</v>
      </c>
    </row>
    <row r="391" spans="1:10" x14ac:dyDescent="0.3">
      <c r="A391">
        <v>390</v>
      </c>
      <c r="B391" t="s">
        <v>2177</v>
      </c>
      <c r="C391" t="s">
        <v>11</v>
      </c>
      <c r="D391" t="s">
        <v>1016</v>
      </c>
      <c r="E391" s="1">
        <v>773498</v>
      </c>
      <c r="F391">
        <v>0.113</v>
      </c>
      <c r="G391">
        <v>25</v>
      </c>
      <c r="H391" t="s">
        <v>11</v>
      </c>
      <c r="I391">
        <v>11</v>
      </c>
      <c r="J391" s="1" t="s">
        <v>15</v>
      </c>
    </row>
    <row r="392" spans="1:10" x14ac:dyDescent="0.3">
      <c r="A392">
        <v>391</v>
      </c>
      <c r="B392" t="s">
        <v>2178</v>
      </c>
      <c r="C392" t="s">
        <v>1788</v>
      </c>
      <c r="D392" t="s">
        <v>1018</v>
      </c>
      <c r="E392" s="1">
        <v>1684620</v>
      </c>
      <c r="F392">
        <v>0.109</v>
      </c>
      <c r="G392">
        <v>10</v>
      </c>
      <c r="H392" t="s">
        <v>332</v>
      </c>
      <c r="I392">
        <v>5</v>
      </c>
      <c r="J392" s="1" t="s">
        <v>15</v>
      </c>
    </row>
    <row r="393" spans="1:10" x14ac:dyDescent="0.3">
      <c r="A393">
        <v>392</v>
      </c>
      <c r="B393" t="s">
        <v>2179</v>
      </c>
      <c r="C393" t="s">
        <v>11</v>
      </c>
      <c r="D393" t="s">
        <v>1020</v>
      </c>
      <c r="E393" s="1">
        <v>1276089</v>
      </c>
      <c r="F393">
        <v>8.7999999999999995E-2</v>
      </c>
      <c r="G393">
        <v>20</v>
      </c>
      <c r="H393" t="s">
        <v>1021</v>
      </c>
      <c r="I393">
        <v>15</v>
      </c>
      <c r="J393" s="1" t="s">
        <v>15</v>
      </c>
    </row>
    <row r="394" spans="1:10" x14ac:dyDescent="0.3">
      <c r="A394">
        <v>393</v>
      </c>
      <c r="B394" t="s">
        <v>2180</v>
      </c>
      <c r="C394" t="s">
        <v>292</v>
      </c>
      <c r="D394" t="s">
        <v>15</v>
      </c>
      <c r="E394" s="1">
        <v>1944543</v>
      </c>
      <c r="F394">
        <v>0.11</v>
      </c>
      <c r="G394">
        <v>30</v>
      </c>
      <c r="H394" t="s">
        <v>11</v>
      </c>
      <c r="I394">
        <v>6</v>
      </c>
      <c r="J394" s="1" t="s">
        <v>1023</v>
      </c>
    </row>
    <row r="395" spans="1:10" x14ac:dyDescent="0.3">
      <c r="A395">
        <v>394</v>
      </c>
      <c r="B395" t="s">
        <v>2181</v>
      </c>
      <c r="C395" t="s">
        <v>367</v>
      </c>
      <c r="D395" t="s">
        <v>1025</v>
      </c>
      <c r="E395" s="1">
        <v>788021</v>
      </c>
      <c r="F395">
        <v>0.111</v>
      </c>
      <c r="G395">
        <v>25</v>
      </c>
      <c r="H395" t="s">
        <v>1026</v>
      </c>
      <c r="I395">
        <v>8</v>
      </c>
      <c r="J395" s="1" t="s">
        <v>1027</v>
      </c>
    </row>
    <row r="396" spans="1:10" x14ac:dyDescent="0.3">
      <c r="A396">
        <v>395</v>
      </c>
      <c r="B396" t="s">
        <v>2182</v>
      </c>
      <c r="C396" t="s">
        <v>11</v>
      </c>
      <c r="D396" t="s">
        <v>15</v>
      </c>
      <c r="E396" s="1">
        <v>1999211</v>
      </c>
      <c r="F396">
        <v>0.12</v>
      </c>
      <c r="G396">
        <v>20</v>
      </c>
      <c r="H396" t="s">
        <v>526</v>
      </c>
      <c r="I396">
        <v>2</v>
      </c>
      <c r="J396" s="1" t="s">
        <v>15</v>
      </c>
    </row>
    <row r="397" spans="1:10" x14ac:dyDescent="0.3">
      <c r="A397">
        <v>396</v>
      </c>
      <c r="B397" t="s">
        <v>2183</v>
      </c>
      <c r="C397" t="s">
        <v>865</v>
      </c>
      <c r="D397" t="s">
        <v>1030</v>
      </c>
      <c r="E397" s="1">
        <v>1438181</v>
      </c>
      <c r="F397">
        <v>8.5999999999999993E-2</v>
      </c>
      <c r="G397">
        <v>20</v>
      </c>
      <c r="H397" t="s">
        <v>1788</v>
      </c>
      <c r="I397">
        <v>14</v>
      </c>
      <c r="J397" s="1" t="s">
        <v>1031</v>
      </c>
    </row>
    <row r="398" spans="1:10" x14ac:dyDescent="0.3">
      <c r="A398">
        <v>397</v>
      </c>
      <c r="B398" t="s">
        <v>2184</v>
      </c>
      <c r="C398" t="s">
        <v>11</v>
      </c>
      <c r="D398" t="s">
        <v>1033</v>
      </c>
      <c r="E398" s="1">
        <v>974908</v>
      </c>
      <c r="F398">
        <v>0.10199999999999999</v>
      </c>
      <c r="G398">
        <v>25</v>
      </c>
      <c r="H398" t="s">
        <v>11</v>
      </c>
      <c r="I398">
        <v>3</v>
      </c>
      <c r="J398" s="1" t="s">
        <v>15</v>
      </c>
    </row>
    <row r="399" spans="1:10" x14ac:dyDescent="0.3">
      <c r="A399">
        <v>398</v>
      </c>
      <c r="B399" t="s">
        <v>2185</v>
      </c>
      <c r="C399" t="s">
        <v>1788</v>
      </c>
      <c r="D399" t="s">
        <v>15</v>
      </c>
      <c r="E399" s="1">
        <v>517733</v>
      </c>
      <c r="F399">
        <v>8.4000000000000005E-2</v>
      </c>
      <c r="G399">
        <v>10</v>
      </c>
      <c r="H399" t="s">
        <v>11</v>
      </c>
      <c r="I399">
        <v>13</v>
      </c>
      <c r="J399" s="1" t="s">
        <v>1035</v>
      </c>
    </row>
    <row r="400" spans="1:10" x14ac:dyDescent="0.3">
      <c r="A400">
        <v>399</v>
      </c>
      <c r="B400" t="s">
        <v>2186</v>
      </c>
      <c r="C400" t="s">
        <v>11</v>
      </c>
      <c r="D400" t="s">
        <v>1037</v>
      </c>
      <c r="E400" s="1">
        <v>1807521</v>
      </c>
      <c r="F400">
        <v>0.10199999999999999</v>
      </c>
      <c r="G400">
        <v>25</v>
      </c>
      <c r="H400" t="s">
        <v>11</v>
      </c>
      <c r="I400">
        <v>3</v>
      </c>
      <c r="J400" s="1" t="s">
        <v>1038</v>
      </c>
    </row>
    <row r="401" spans="1:10" x14ac:dyDescent="0.3">
      <c r="A401">
        <v>400</v>
      </c>
      <c r="B401" t="s">
        <v>2187</v>
      </c>
      <c r="C401" t="s">
        <v>11</v>
      </c>
      <c r="D401" t="s">
        <v>1040</v>
      </c>
      <c r="E401" s="1">
        <v>1160590</v>
      </c>
      <c r="F401">
        <v>0.113</v>
      </c>
      <c r="G401">
        <v>10</v>
      </c>
      <c r="H401" t="s">
        <v>1788</v>
      </c>
      <c r="I401">
        <v>5</v>
      </c>
      <c r="J401" s="1" t="s">
        <v>15</v>
      </c>
    </row>
    <row r="402" spans="1:10" x14ac:dyDescent="0.3">
      <c r="A402">
        <v>401</v>
      </c>
      <c r="B402" t="s">
        <v>2188</v>
      </c>
      <c r="C402" t="s">
        <v>11</v>
      </c>
      <c r="D402" t="s">
        <v>1042</v>
      </c>
      <c r="E402" s="1">
        <v>569791</v>
      </c>
      <c r="F402">
        <v>0.112</v>
      </c>
      <c r="G402">
        <v>25</v>
      </c>
      <c r="H402" t="s">
        <v>1043</v>
      </c>
      <c r="I402">
        <v>8</v>
      </c>
      <c r="J402" s="1" t="s">
        <v>15</v>
      </c>
    </row>
    <row r="403" spans="1:10" x14ac:dyDescent="0.3">
      <c r="A403">
        <v>402</v>
      </c>
      <c r="B403" t="s">
        <v>2189</v>
      </c>
      <c r="C403" t="s">
        <v>1788</v>
      </c>
      <c r="D403" t="s">
        <v>1045</v>
      </c>
      <c r="E403" s="1">
        <v>2407664</v>
      </c>
      <c r="F403">
        <v>8.1000000000000003E-2</v>
      </c>
      <c r="G403">
        <v>20</v>
      </c>
      <c r="H403" t="s">
        <v>11</v>
      </c>
      <c r="I403">
        <v>13</v>
      </c>
      <c r="J403" s="1" t="s">
        <v>1046</v>
      </c>
    </row>
    <row r="404" spans="1:10" x14ac:dyDescent="0.3">
      <c r="A404">
        <v>403</v>
      </c>
      <c r="B404" t="s">
        <v>2190</v>
      </c>
      <c r="C404" t="s">
        <v>11</v>
      </c>
      <c r="D404" t="s">
        <v>15</v>
      </c>
      <c r="E404" s="1">
        <v>724103</v>
      </c>
      <c r="F404">
        <v>0.111</v>
      </c>
      <c r="G404">
        <v>30</v>
      </c>
      <c r="H404" t="s">
        <v>1788</v>
      </c>
      <c r="I404">
        <v>5</v>
      </c>
      <c r="J404" s="1" t="s">
        <v>15</v>
      </c>
    </row>
    <row r="405" spans="1:10" x14ac:dyDescent="0.3">
      <c r="A405">
        <v>404</v>
      </c>
      <c r="B405" t="s">
        <v>2191</v>
      </c>
      <c r="C405" t="s">
        <v>11</v>
      </c>
      <c r="D405" t="s">
        <v>15</v>
      </c>
      <c r="E405" s="1">
        <v>1828524</v>
      </c>
      <c r="F405">
        <v>0.115</v>
      </c>
      <c r="G405">
        <v>20</v>
      </c>
      <c r="H405" t="s">
        <v>1788</v>
      </c>
      <c r="I405">
        <v>15</v>
      </c>
      <c r="J405" s="1" t="s">
        <v>1049</v>
      </c>
    </row>
    <row r="406" spans="1:10" x14ac:dyDescent="0.3">
      <c r="A406">
        <v>405</v>
      </c>
      <c r="B406" t="s">
        <v>2192</v>
      </c>
      <c r="C406" t="s">
        <v>1788</v>
      </c>
      <c r="D406" t="s">
        <v>15</v>
      </c>
      <c r="E406" s="1">
        <v>2187327</v>
      </c>
      <c r="F406">
        <v>0.107</v>
      </c>
      <c r="G406">
        <v>30</v>
      </c>
      <c r="H406" t="s">
        <v>1788</v>
      </c>
      <c r="I406">
        <v>10</v>
      </c>
      <c r="J406" s="1" t="s">
        <v>15</v>
      </c>
    </row>
    <row r="407" spans="1:10" x14ac:dyDescent="0.3">
      <c r="A407">
        <v>406</v>
      </c>
      <c r="B407" t="s">
        <v>2193</v>
      </c>
      <c r="C407" t="s">
        <v>1788</v>
      </c>
      <c r="D407" t="s">
        <v>15</v>
      </c>
      <c r="E407" s="1">
        <v>1703716</v>
      </c>
      <c r="F407">
        <v>0.10199999999999999</v>
      </c>
      <c r="G407">
        <v>30</v>
      </c>
      <c r="H407" t="s">
        <v>11</v>
      </c>
      <c r="I407">
        <v>3</v>
      </c>
      <c r="J407" s="1" t="s">
        <v>15</v>
      </c>
    </row>
    <row r="408" spans="1:10" x14ac:dyDescent="0.3">
      <c r="A408">
        <v>407</v>
      </c>
      <c r="B408" t="s">
        <v>2194</v>
      </c>
      <c r="C408" t="s">
        <v>11</v>
      </c>
      <c r="D408" t="s">
        <v>15</v>
      </c>
      <c r="E408" s="1">
        <v>583584</v>
      </c>
      <c r="F408">
        <v>9.1999999999999998E-2</v>
      </c>
      <c r="G408">
        <v>10</v>
      </c>
      <c r="H408" t="s">
        <v>1053</v>
      </c>
      <c r="I408">
        <v>0</v>
      </c>
      <c r="J408" s="1" t="s">
        <v>1054</v>
      </c>
    </row>
    <row r="409" spans="1:10" x14ac:dyDescent="0.3">
      <c r="A409">
        <v>408</v>
      </c>
      <c r="B409" t="s">
        <v>2195</v>
      </c>
      <c r="C409" t="s">
        <v>559</v>
      </c>
      <c r="D409" t="s">
        <v>1056</v>
      </c>
      <c r="E409" s="1">
        <v>1863246</v>
      </c>
      <c r="F409">
        <v>0.10299999999999999</v>
      </c>
      <c r="G409">
        <v>10</v>
      </c>
      <c r="H409" t="s">
        <v>1788</v>
      </c>
      <c r="I409">
        <v>4</v>
      </c>
      <c r="J409" s="1" t="s">
        <v>1057</v>
      </c>
    </row>
    <row r="410" spans="1:10" x14ac:dyDescent="0.3">
      <c r="A410">
        <v>409</v>
      </c>
      <c r="B410" t="s">
        <v>2196</v>
      </c>
      <c r="C410" t="s">
        <v>215</v>
      </c>
      <c r="D410" t="s">
        <v>1059</v>
      </c>
      <c r="E410" s="1">
        <v>2000558</v>
      </c>
      <c r="F410">
        <v>9.4E-2</v>
      </c>
      <c r="G410">
        <v>15</v>
      </c>
      <c r="H410" t="s">
        <v>343</v>
      </c>
      <c r="I410">
        <v>1</v>
      </c>
      <c r="J410" s="1" t="s">
        <v>1060</v>
      </c>
    </row>
    <row r="411" spans="1:10" x14ac:dyDescent="0.3">
      <c r="A411">
        <v>410</v>
      </c>
      <c r="B411" t="s">
        <v>2197</v>
      </c>
      <c r="C411" t="s">
        <v>1788</v>
      </c>
      <c r="D411" t="s">
        <v>15</v>
      </c>
      <c r="E411" s="1">
        <v>2342309</v>
      </c>
      <c r="F411">
        <v>0.106</v>
      </c>
      <c r="G411">
        <v>20</v>
      </c>
      <c r="H411" t="s">
        <v>11</v>
      </c>
      <c r="I411">
        <v>12</v>
      </c>
      <c r="J411" s="1" t="s">
        <v>15</v>
      </c>
    </row>
    <row r="412" spans="1:10" x14ac:dyDescent="0.3">
      <c r="A412">
        <v>411</v>
      </c>
      <c r="B412" t="s">
        <v>2198</v>
      </c>
      <c r="C412" t="s">
        <v>11</v>
      </c>
      <c r="D412" t="s">
        <v>1063</v>
      </c>
      <c r="E412" s="1">
        <v>744839</v>
      </c>
      <c r="F412">
        <v>0.10199999999999999</v>
      </c>
      <c r="G412">
        <v>15</v>
      </c>
      <c r="H412" t="s">
        <v>1064</v>
      </c>
      <c r="I412">
        <v>1</v>
      </c>
      <c r="J412" s="1" t="s">
        <v>1065</v>
      </c>
    </row>
    <row r="413" spans="1:10" x14ac:dyDescent="0.3">
      <c r="A413">
        <v>412</v>
      </c>
      <c r="B413" t="s">
        <v>2199</v>
      </c>
      <c r="C413" t="s">
        <v>11</v>
      </c>
      <c r="D413" t="s">
        <v>1067</v>
      </c>
      <c r="E413" s="1">
        <v>530928</v>
      </c>
      <c r="F413">
        <v>0.10199999999999999</v>
      </c>
      <c r="G413">
        <v>25</v>
      </c>
      <c r="H413" t="s">
        <v>235</v>
      </c>
      <c r="I413">
        <v>13</v>
      </c>
      <c r="J413" s="1" t="s">
        <v>15</v>
      </c>
    </row>
    <row r="414" spans="1:10" x14ac:dyDescent="0.3">
      <c r="A414">
        <v>413</v>
      </c>
      <c r="B414" t="s">
        <v>2200</v>
      </c>
      <c r="C414" t="s">
        <v>11</v>
      </c>
      <c r="D414" t="s">
        <v>15</v>
      </c>
      <c r="E414" s="1">
        <v>1723585</v>
      </c>
      <c r="F414">
        <v>9.5000000000000001E-2</v>
      </c>
      <c r="G414">
        <v>30</v>
      </c>
      <c r="H414" t="s">
        <v>1069</v>
      </c>
      <c r="I414">
        <v>9</v>
      </c>
      <c r="J414" s="1" t="s">
        <v>1070</v>
      </c>
    </row>
    <row r="415" spans="1:10" x14ac:dyDescent="0.3">
      <c r="A415">
        <v>414</v>
      </c>
      <c r="B415" t="s">
        <v>2201</v>
      </c>
      <c r="C415" t="s">
        <v>11</v>
      </c>
      <c r="D415" t="s">
        <v>1072</v>
      </c>
      <c r="E415" s="1">
        <v>1455300</v>
      </c>
      <c r="F415">
        <v>0.113</v>
      </c>
      <c r="G415">
        <v>20</v>
      </c>
      <c r="H415" t="s">
        <v>11</v>
      </c>
      <c r="I415">
        <v>3</v>
      </c>
      <c r="J415" s="1" t="s">
        <v>15</v>
      </c>
    </row>
    <row r="416" spans="1:10" x14ac:dyDescent="0.3">
      <c r="A416">
        <v>415</v>
      </c>
      <c r="B416" t="s">
        <v>2202</v>
      </c>
      <c r="C416" t="s">
        <v>1788</v>
      </c>
      <c r="D416" t="s">
        <v>1074</v>
      </c>
      <c r="E416" s="1">
        <v>696020</v>
      </c>
      <c r="F416">
        <v>0.11600000000000001</v>
      </c>
      <c r="G416">
        <v>15</v>
      </c>
      <c r="H416" t="s">
        <v>1788</v>
      </c>
      <c r="I416">
        <v>0</v>
      </c>
      <c r="J416" s="1" t="s">
        <v>15</v>
      </c>
    </row>
    <row r="417" spans="1:10" x14ac:dyDescent="0.3">
      <c r="A417">
        <v>416</v>
      </c>
      <c r="B417" t="s">
        <v>2203</v>
      </c>
      <c r="C417" t="s">
        <v>1076</v>
      </c>
      <c r="D417" t="s">
        <v>15</v>
      </c>
      <c r="E417" s="1">
        <v>1935313</v>
      </c>
      <c r="F417">
        <v>0.106</v>
      </c>
      <c r="G417">
        <v>30</v>
      </c>
      <c r="H417" t="s">
        <v>310</v>
      </c>
      <c r="I417">
        <v>0</v>
      </c>
      <c r="J417" s="1" t="s">
        <v>15</v>
      </c>
    </row>
    <row r="418" spans="1:10" x14ac:dyDescent="0.3">
      <c r="A418">
        <v>417</v>
      </c>
      <c r="B418" t="s">
        <v>2204</v>
      </c>
      <c r="C418" t="s">
        <v>367</v>
      </c>
      <c r="D418" t="s">
        <v>1078</v>
      </c>
      <c r="E418" s="1">
        <v>2336756</v>
      </c>
      <c r="F418">
        <v>0.11</v>
      </c>
      <c r="G418">
        <v>10</v>
      </c>
      <c r="H418" t="s">
        <v>1788</v>
      </c>
      <c r="I418">
        <v>8</v>
      </c>
      <c r="J418" s="1" t="s">
        <v>1079</v>
      </c>
    </row>
    <row r="419" spans="1:10" x14ac:dyDescent="0.3">
      <c r="A419">
        <v>418</v>
      </c>
      <c r="B419" t="s">
        <v>2205</v>
      </c>
      <c r="C419" t="s">
        <v>1788</v>
      </c>
      <c r="D419" t="s">
        <v>1081</v>
      </c>
      <c r="E419" s="1">
        <v>1955105</v>
      </c>
      <c r="F419">
        <v>0.10299999999999999</v>
      </c>
      <c r="G419">
        <v>15</v>
      </c>
      <c r="H419" t="s">
        <v>588</v>
      </c>
      <c r="I419">
        <v>14</v>
      </c>
      <c r="J419" s="1" t="s">
        <v>15</v>
      </c>
    </row>
    <row r="420" spans="1:10" x14ac:dyDescent="0.3">
      <c r="A420">
        <v>419</v>
      </c>
      <c r="B420" t="s">
        <v>2206</v>
      </c>
      <c r="C420" t="s">
        <v>141</v>
      </c>
      <c r="D420" t="s">
        <v>1083</v>
      </c>
      <c r="E420" s="1">
        <v>1171746</v>
      </c>
      <c r="F420">
        <v>0.10299999999999999</v>
      </c>
      <c r="G420">
        <v>15</v>
      </c>
      <c r="H420" t="s">
        <v>1084</v>
      </c>
      <c r="I420">
        <v>15</v>
      </c>
      <c r="J420" s="1" t="s">
        <v>1085</v>
      </c>
    </row>
    <row r="421" spans="1:10" x14ac:dyDescent="0.3">
      <c r="A421">
        <v>420</v>
      </c>
      <c r="B421" t="s">
        <v>2207</v>
      </c>
      <c r="C421" t="s">
        <v>11</v>
      </c>
      <c r="D421" t="s">
        <v>15</v>
      </c>
      <c r="E421" s="1">
        <v>649570</v>
      </c>
      <c r="F421">
        <v>0.112</v>
      </c>
      <c r="G421">
        <v>30</v>
      </c>
      <c r="H421" t="s">
        <v>11</v>
      </c>
      <c r="I421">
        <v>13</v>
      </c>
      <c r="J421" s="1" t="s">
        <v>15</v>
      </c>
    </row>
    <row r="422" spans="1:10" x14ac:dyDescent="0.3">
      <c r="A422">
        <v>421</v>
      </c>
      <c r="B422" t="s">
        <v>2208</v>
      </c>
      <c r="C422" t="s">
        <v>1788</v>
      </c>
      <c r="D422" t="s">
        <v>1088</v>
      </c>
      <c r="E422" s="1">
        <v>1132381</v>
      </c>
      <c r="F422">
        <v>0.10299999999999999</v>
      </c>
      <c r="G422">
        <v>25</v>
      </c>
      <c r="H422" t="s">
        <v>1788</v>
      </c>
      <c r="I422">
        <v>6</v>
      </c>
      <c r="J422" s="1" t="s">
        <v>1089</v>
      </c>
    </row>
    <row r="423" spans="1:10" x14ac:dyDescent="0.3">
      <c r="A423">
        <v>422</v>
      </c>
      <c r="B423" t="s">
        <v>2209</v>
      </c>
      <c r="C423" t="s">
        <v>817</v>
      </c>
      <c r="D423" t="s">
        <v>1091</v>
      </c>
      <c r="E423" s="1">
        <v>1411289</v>
      </c>
      <c r="F423">
        <v>0.115</v>
      </c>
      <c r="G423">
        <v>10</v>
      </c>
      <c r="H423" t="s">
        <v>11</v>
      </c>
      <c r="I423">
        <v>5</v>
      </c>
      <c r="J423" s="1" t="s">
        <v>1092</v>
      </c>
    </row>
    <row r="424" spans="1:10" x14ac:dyDescent="0.3">
      <c r="A424">
        <v>423</v>
      </c>
      <c r="B424" t="s">
        <v>2210</v>
      </c>
      <c r="C424" t="s">
        <v>1788</v>
      </c>
      <c r="D424" t="s">
        <v>15</v>
      </c>
      <c r="E424" s="1">
        <v>1889201</v>
      </c>
      <c r="F424">
        <v>0.113</v>
      </c>
      <c r="G424">
        <v>10</v>
      </c>
      <c r="H424" t="s">
        <v>143</v>
      </c>
      <c r="I424">
        <v>8</v>
      </c>
      <c r="J424" s="1" t="s">
        <v>1094</v>
      </c>
    </row>
    <row r="425" spans="1:10" x14ac:dyDescent="0.3">
      <c r="A425">
        <v>424</v>
      </c>
      <c r="B425" t="s">
        <v>2211</v>
      </c>
      <c r="C425" t="s">
        <v>59</v>
      </c>
      <c r="D425" t="s">
        <v>15</v>
      </c>
      <c r="E425" s="1">
        <v>896008</v>
      </c>
      <c r="F425">
        <v>9.9000000000000005E-2</v>
      </c>
      <c r="G425">
        <v>25</v>
      </c>
      <c r="H425" t="s">
        <v>1788</v>
      </c>
      <c r="I425">
        <v>0</v>
      </c>
      <c r="J425" s="1" t="s">
        <v>15</v>
      </c>
    </row>
    <row r="426" spans="1:10" x14ac:dyDescent="0.3">
      <c r="A426">
        <v>425</v>
      </c>
      <c r="B426" t="s">
        <v>2212</v>
      </c>
      <c r="C426" t="s">
        <v>1788</v>
      </c>
      <c r="D426" t="s">
        <v>1097</v>
      </c>
      <c r="E426" s="1">
        <v>1106504</v>
      </c>
      <c r="F426">
        <v>0.108</v>
      </c>
      <c r="G426">
        <v>30</v>
      </c>
      <c r="H426" t="s">
        <v>1788</v>
      </c>
      <c r="I426">
        <v>12</v>
      </c>
      <c r="J426" s="1" t="s">
        <v>15</v>
      </c>
    </row>
    <row r="427" spans="1:10" x14ac:dyDescent="0.3">
      <c r="A427">
        <v>426</v>
      </c>
      <c r="B427" t="s">
        <v>2213</v>
      </c>
      <c r="C427" t="s">
        <v>766</v>
      </c>
      <c r="D427" t="s">
        <v>15</v>
      </c>
      <c r="E427" s="1">
        <v>878177</v>
      </c>
      <c r="F427">
        <v>8.5999999999999993E-2</v>
      </c>
      <c r="G427">
        <v>30</v>
      </c>
      <c r="H427" t="s">
        <v>11</v>
      </c>
      <c r="I427">
        <v>5</v>
      </c>
      <c r="J427" s="1" t="s">
        <v>15</v>
      </c>
    </row>
    <row r="428" spans="1:10" x14ac:dyDescent="0.3">
      <c r="A428">
        <v>427</v>
      </c>
      <c r="B428" t="s">
        <v>2214</v>
      </c>
      <c r="C428" t="s">
        <v>520</v>
      </c>
      <c r="D428" t="s">
        <v>1100</v>
      </c>
      <c r="E428" s="1">
        <v>1591230</v>
      </c>
      <c r="F428">
        <v>0.11799999999999999</v>
      </c>
      <c r="G428">
        <v>25</v>
      </c>
      <c r="H428" t="s">
        <v>1788</v>
      </c>
      <c r="I428">
        <v>1</v>
      </c>
      <c r="J428" s="1" t="s">
        <v>15</v>
      </c>
    </row>
    <row r="429" spans="1:10" x14ac:dyDescent="0.3">
      <c r="A429">
        <v>428</v>
      </c>
      <c r="B429" t="s">
        <v>2215</v>
      </c>
      <c r="C429" t="s">
        <v>40</v>
      </c>
      <c r="D429" t="s">
        <v>15</v>
      </c>
      <c r="E429" s="1">
        <v>621879</v>
      </c>
      <c r="F429">
        <v>0.10299999999999999</v>
      </c>
      <c r="G429">
        <v>30</v>
      </c>
      <c r="H429" t="s">
        <v>481</v>
      </c>
      <c r="I429">
        <v>9</v>
      </c>
      <c r="J429" s="1" t="s">
        <v>1102</v>
      </c>
    </row>
    <row r="430" spans="1:10" x14ac:dyDescent="0.3">
      <c r="A430">
        <v>429</v>
      </c>
      <c r="B430" t="s">
        <v>2216</v>
      </c>
      <c r="C430" t="s">
        <v>120</v>
      </c>
      <c r="D430" t="s">
        <v>1104</v>
      </c>
      <c r="E430" s="1">
        <v>1844449</v>
      </c>
      <c r="F430">
        <v>9.6000000000000002E-2</v>
      </c>
      <c r="G430">
        <v>30</v>
      </c>
      <c r="H430" t="s">
        <v>11</v>
      </c>
      <c r="I430">
        <v>1</v>
      </c>
      <c r="J430" s="1" t="s">
        <v>15</v>
      </c>
    </row>
    <row r="431" spans="1:10" x14ac:dyDescent="0.3">
      <c r="A431">
        <v>430</v>
      </c>
      <c r="B431" t="s">
        <v>2217</v>
      </c>
      <c r="C431" t="s">
        <v>1076</v>
      </c>
      <c r="D431" t="s">
        <v>15</v>
      </c>
      <c r="E431" s="1">
        <v>1596360</v>
      </c>
      <c r="F431">
        <v>0.114</v>
      </c>
      <c r="G431">
        <v>25</v>
      </c>
      <c r="H431" t="s">
        <v>1788</v>
      </c>
      <c r="I431">
        <v>9</v>
      </c>
      <c r="J431" s="1" t="s">
        <v>1106</v>
      </c>
    </row>
    <row r="432" spans="1:10" x14ac:dyDescent="0.3">
      <c r="A432">
        <v>431</v>
      </c>
      <c r="B432" t="s">
        <v>2218</v>
      </c>
      <c r="C432" t="s">
        <v>435</v>
      </c>
      <c r="D432" t="s">
        <v>15</v>
      </c>
      <c r="E432" s="1">
        <v>2135983</v>
      </c>
      <c r="F432">
        <v>9.2999999999999999E-2</v>
      </c>
      <c r="G432">
        <v>10</v>
      </c>
      <c r="H432" t="s">
        <v>235</v>
      </c>
      <c r="I432">
        <v>11</v>
      </c>
      <c r="J432" s="1" t="s">
        <v>1108</v>
      </c>
    </row>
    <row r="433" spans="1:10" x14ac:dyDescent="0.3">
      <c r="A433">
        <v>432</v>
      </c>
      <c r="B433" t="s">
        <v>2219</v>
      </c>
      <c r="C433" t="s">
        <v>11</v>
      </c>
      <c r="D433" t="s">
        <v>1110</v>
      </c>
      <c r="E433" s="1">
        <v>528781</v>
      </c>
      <c r="F433">
        <v>0.107</v>
      </c>
      <c r="G433">
        <v>15</v>
      </c>
      <c r="H433" t="s">
        <v>11</v>
      </c>
      <c r="I433">
        <v>1</v>
      </c>
      <c r="J433" s="1" t="s">
        <v>1111</v>
      </c>
    </row>
    <row r="434" spans="1:10" x14ac:dyDescent="0.3">
      <c r="A434">
        <v>433</v>
      </c>
      <c r="B434" t="s">
        <v>2220</v>
      </c>
      <c r="C434" t="s">
        <v>1113</v>
      </c>
      <c r="D434" t="s">
        <v>1114</v>
      </c>
      <c r="E434" s="1">
        <v>827238</v>
      </c>
      <c r="F434">
        <v>0.114</v>
      </c>
      <c r="G434">
        <v>30</v>
      </c>
      <c r="H434" t="s">
        <v>1115</v>
      </c>
      <c r="I434">
        <v>9</v>
      </c>
      <c r="J434" s="1" t="s">
        <v>1116</v>
      </c>
    </row>
    <row r="435" spans="1:10" x14ac:dyDescent="0.3">
      <c r="A435">
        <v>434</v>
      </c>
      <c r="B435" t="s">
        <v>2221</v>
      </c>
      <c r="C435" t="s">
        <v>1788</v>
      </c>
      <c r="D435" t="s">
        <v>1118</v>
      </c>
      <c r="E435" s="1">
        <v>581956</v>
      </c>
      <c r="F435">
        <v>0.113</v>
      </c>
      <c r="G435">
        <v>25</v>
      </c>
      <c r="H435" t="s">
        <v>1788</v>
      </c>
      <c r="I435">
        <v>13</v>
      </c>
      <c r="J435" s="1" t="s">
        <v>1119</v>
      </c>
    </row>
    <row r="436" spans="1:10" x14ac:dyDescent="0.3">
      <c r="A436">
        <v>435</v>
      </c>
      <c r="B436" t="s">
        <v>2222</v>
      </c>
      <c r="C436" t="s">
        <v>88</v>
      </c>
      <c r="D436" t="s">
        <v>1121</v>
      </c>
      <c r="E436" s="1">
        <v>1006934</v>
      </c>
      <c r="F436">
        <v>0.114</v>
      </c>
      <c r="G436">
        <v>25</v>
      </c>
      <c r="H436" t="s">
        <v>481</v>
      </c>
      <c r="I436">
        <v>1</v>
      </c>
      <c r="J436" s="1" t="s">
        <v>1122</v>
      </c>
    </row>
    <row r="437" spans="1:10" x14ac:dyDescent="0.3">
      <c r="A437">
        <v>436</v>
      </c>
      <c r="B437" t="s">
        <v>2223</v>
      </c>
      <c r="C437" t="s">
        <v>766</v>
      </c>
      <c r="D437" t="s">
        <v>1124</v>
      </c>
      <c r="E437" s="1">
        <v>2055166</v>
      </c>
      <c r="F437">
        <v>8.1000000000000003E-2</v>
      </c>
      <c r="G437">
        <v>20</v>
      </c>
      <c r="H437" t="s">
        <v>1788</v>
      </c>
      <c r="I437">
        <v>10</v>
      </c>
      <c r="J437" s="1" t="s">
        <v>1125</v>
      </c>
    </row>
    <row r="438" spans="1:10" x14ac:dyDescent="0.3">
      <c r="A438">
        <v>437</v>
      </c>
      <c r="B438" t="s">
        <v>2224</v>
      </c>
      <c r="C438" t="s">
        <v>817</v>
      </c>
      <c r="D438" t="s">
        <v>1127</v>
      </c>
      <c r="E438" s="1">
        <v>2221377</v>
      </c>
      <c r="F438">
        <v>0.109</v>
      </c>
      <c r="G438">
        <v>10</v>
      </c>
      <c r="H438" t="s">
        <v>1128</v>
      </c>
      <c r="I438">
        <v>0</v>
      </c>
      <c r="J438" s="1" t="s">
        <v>1129</v>
      </c>
    </row>
    <row r="439" spans="1:10" x14ac:dyDescent="0.3">
      <c r="A439">
        <v>438</v>
      </c>
      <c r="B439" t="s">
        <v>2225</v>
      </c>
      <c r="C439" t="s">
        <v>646</v>
      </c>
      <c r="D439" t="s">
        <v>15</v>
      </c>
      <c r="E439" s="1">
        <v>1696174</v>
      </c>
      <c r="F439">
        <v>9.0999999999999998E-2</v>
      </c>
      <c r="G439">
        <v>25</v>
      </c>
      <c r="H439" t="s">
        <v>11</v>
      </c>
      <c r="I439">
        <v>1</v>
      </c>
      <c r="J439" s="1" t="s">
        <v>15</v>
      </c>
    </row>
    <row r="440" spans="1:10" x14ac:dyDescent="0.3">
      <c r="A440">
        <v>439</v>
      </c>
      <c r="B440" t="s">
        <v>2226</v>
      </c>
      <c r="C440" t="s">
        <v>1788</v>
      </c>
      <c r="D440" t="s">
        <v>1132</v>
      </c>
      <c r="E440" s="1">
        <v>1131899</v>
      </c>
      <c r="F440">
        <v>9.2999999999999999E-2</v>
      </c>
      <c r="G440">
        <v>30</v>
      </c>
      <c r="H440" t="s">
        <v>1788</v>
      </c>
      <c r="I440">
        <v>0</v>
      </c>
      <c r="J440" s="1" t="s">
        <v>1133</v>
      </c>
    </row>
    <row r="441" spans="1:10" x14ac:dyDescent="0.3">
      <c r="A441">
        <v>440</v>
      </c>
      <c r="B441" t="s">
        <v>2227</v>
      </c>
      <c r="C441" t="s">
        <v>11</v>
      </c>
      <c r="D441" t="s">
        <v>15</v>
      </c>
      <c r="E441" s="1">
        <v>2362569</v>
      </c>
      <c r="F441">
        <v>0.11700000000000001</v>
      </c>
      <c r="G441">
        <v>20</v>
      </c>
      <c r="H441" t="s">
        <v>11</v>
      </c>
      <c r="I441">
        <v>13</v>
      </c>
      <c r="J441" s="1" t="s">
        <v>15</v>
      </c>
    </row>
    <row r="442" spans="1:10" x14ac:dyDescent="0.3">
      <c r="A442">
        <v>441</v>
      </c>
      <c r="B442" t="s">
        <v>2228</v>
      </c>
      <c r="C442" t="s">
        <v>1788</v>
      </c>
      <c r="D442" t="s">
        <v>1136</v>
      </c>
      <c r="E442" s="1">
        <v>2342948</v>
      </c>
      <c r="F442">
        <v>0.1</v>
      </c>
      <c r="G442">
        <v>25</v>
      </c>
      <c r="H442" t="s">
        <v>1137</v>
      </c>
      <c r="I442">
        <v>6</v>
      </c>
      <c r="J442" s="1" t="s">
        <v>15</v>
      </c>
    </row>
    <row r="443" spans="1:10" x14ac:dyDescent="0.3">
      <c r="A443">
        <v>442</v>
      </c>
      <c r="B443" t="s">
        <v>2229</v>
      </c>
      <c r="C443" t="s">
        <v>1113</v>
      </c>
      <c r="D443" t="s">
        <v>1139</v>
      </c>
      <c r="E443" s="1">
        <v>2148783</v>
      </c>
      <c r="F443">
        <v>0.111</v>
      </c>
      <c r="G443">
        <v>25</v>
      </c>
      <c r="H443" t="s">
        <v>11</v>
      </c>
      <c r="I443">
        <v>1</v>
      </c>
      <c r="J443" s="1" t="s">
        <v>15</v>
      </c>
    </row>
    <row r="444" spans="1:10" x14ac:dyDescent="0.3">
      <c r="A444">
        <v>443</v>
      </c>
      <c r="B444" t="s">
        <v>2230</v>
      </c>
      <c r="C444" t="s">
        <v>1788</v>
      </c>
      <c r="D444" t="s">
        <v>1141</v>
      </c>
      <c r="E444" s="1">
        <v>2277785</v>
      </c>
      <c r="F444">
        <v>8.6999999999999994E-2</v>
      </c>
      <c r="G444">
        <v>20</v>
      </c>
      <c r="H444" t="s">
        <v>1788</v>
      </c>
      <c r="I444">
        <v>2</v>
      </c>
      <c r="J444" s="1" t="s">
        <v>1142</v>
      </c>
    </row>
    <row r="445" spans="1:10" x14ac:dyDescent="0.3">
      <c r="A445">
        <v>444</v>
      </c>
      <c r="B445" t="s">
        <v>2231</v>
      </c>
      <c r="C445" t="s">
        <v>1788</v>
      </c>
      <c r="D445" t="s">
        <v>15</v>
      </c>
      <c r="E445" s="1">
        <v>907153</v>
      </c>
      <c r="F445">
        <v>9.5000000000000001E-2</v>
      </c>
      <c r="G445">
        <v>30</v>
      </c>
      <c r="H445" t="s">
        <v>11</v>
      </c>
      <c r="I445">
        <v>15</v>
      </c>
      <c r="J445" s="1" t="s">
        <v>1144</v>
      </c>
    </row>
    <row r="446" spans="1:10" x14ac:dyDescent="0.3">
      <c r="A446">
        <v>445</v>
      </c>
      <c r="B446" t="s">
        <v>2232</v>
      </c>
      <c r="C446" t="s">
        <v>202</v>
      </c>
      <c r="D446" t="s">
        <v>1146</v>
      </c>
      <c r="E446" s="1">
        <v>1666742</v>
      </c>
      <c r="F446">
        <v>8.8999999999999996E-2</v>
      </c>
      <c r="G446">
        <v>25</v>
      </c>
      <c r="H446" t="s">
        <v>1788</v>
      </c>
      <c r="I446">
        <v>12</v>
      </c>
      <c r="J446" s="1" t="s">
        <v>15</v>
      </c>
    </row>
    <row r="447" spans="1:10" x14ac:dyDescent="0.3">
      <c r="A447">
        <v>446</v>
      </c>
      <c r="B447" t="s">
        <v>2233</v>
      </c>
      <c r="C447" t="s">
        <v>1788</v>
      </c>
      <c r="D447" t="s">
        <v>1148</v>
      </c>
      <c r="E447" s="1">
        <v>986649</v>
      </c>
      <c r="F447">
        <v>0.109</v>
      </c>
      <c r="G447">
        <v>25</v>
      </c>
      <c r="H447" t="s">
        <v>1788</v>
      </c>
      <c r="I447">
        <v>12</v>
      </c>
      <c r="J447" s="1" t="s">
        <v>15</v>
      </c>
    </row>
    <row r="448" spans="1:10" x14ac:dyDescent="0.3">
      <c r="A448">
        <v>447</v>
      </c>
      <c r="B448" t="s">
        <v>2234</v>
      </c>
      <c r="C448" t="s">
        <v>120</v>
      </c>
      <c r="D448" t="s">
        <v>1150</v>
      </c>
      <c r="E448" s="1">
        <v>1697288</v>
      </c>
      <c r="F448">
        <v>9.9000000000000005E-2</v>
      </c>
      <c r="G448">
        <v>10</v>
      </c>
      <c r="H448" t="s">
        <v>1788</v>
      </c>
      <c r="I448">
        <v>5</v>
      </c>
      <c r="J448" s="1" t="s">
        <v>1151</v>
      </c>
    </row>
    <row r="449" spans="1:10" x14ac:dyDescent="0.3">
      <c r="A449">
        <v>448</v>
      </c>
      <c r="B449" t="s">
        <v>2235</v>
      </c>
      <c r="C449" t="s">
        <v>11</v>
      </c>
      <c r="D449" t="s">
        <v>1153</v>
      </c>
      <c r="E449" s="1">
        <v>2297891</v>
      </c>
      <c r="F449">
        <v>0.10299999999999999</v>
      </c>
      <c r="G449">
        <v>25</v>
      </c>
      <c r="H449" t="s">
        <v>11</v>
      </c>
      <c r="I449">
        <v>12</v>
      </c>
      <c r="J449" s="1" t="s">
        <v>15</v>
      </c>
    </row>
    <row r="450" spans="1:10" x14ac:dyDescent="0.3">
      <c r="A450">
        <v>449</v>
      </c>
      <c r="B450" t="s">
        <v>2236</v>
      </c>
      <c r="C450" t="s">
        <v>1788</v>
      </c>
      <c r="D450" t="s">
        <v>1155</v>
      </c>
      <c r="E450" s="1">
        <v>1591205</v>
      </c>
      <c r="F450">
        <v>8.2000000000000003E-2</v>
      </c>
      <c r="G450">
        <v>20</v>
      </c>
      <c r="H450" t="s">
        <v>11</v>
      </c>
      <c r="I450">
        <v>8</v>
      </c>
      <c r="J450" s="1" t="s">
        <v>15</v>
      </c>
    </row>
    <row r="451" spans="1:10" x14ac:dyDescent="0.3">
      <c r="A451">
        <v>450</v>
      </c>
      <c r="B451" t="s">
        <v>2237</v>
      </c>
      <c r="C451" t="s">
        <v>1788</v>
      </c>
      <c r="D451" t="s">
        <v>15</v>
      </c>
      <c r="E451" s="1">
        <v>586262</v>
      </c>
      <c r="F451">
        <v>0.106</v>
      </c>
      <c r="G451">
        <v>20</v>
      </c>
      <c r="H451" t="s">
        <v>11</v>
      </c>
      <c r="I451">
        <v>11</v>
      </c>
      <c r="J451" s="1" t="s">
        <v>1157</v>
      </c>
    </row>
    <row r="452" spans="1:10" x14ac:dyDescent="0.3">
      <c r="A452">
        <v>451</v>
      </c>
      <c r="B452" t="s">
        <v>2238</v>
      </c>
      <c r="C452" t="s">
        <v>11</v>
      </c>
      <c r="D452" t="s">
        <v>15</v>
      </c>
      <c r="E452" s="1">
        <v>1387174</v>
      </c>
      <c r="F452">
        <v>0.112</v>
      </c>
      <c r="G452">
        <v>25</v>
      </c>
      <c r="H452" t="s">
        <v>1159</v>
      </c>
      <c r="I452">
        <v>4</v>
      </c>
      <c r="J452" s="1" t="s">
        <v>1160</v>
      </c>
    </row>
    <row r="453" spans="1:10" x14ac:dyDescent="0.3">
      <c r="A453">
        <v>452</v>
      </c>
      <c r="B453" t="s">
        <v>2239</v>
      </c>
      <c r="C453" t="s">
        <v>11</v>
      </c>
      <c r="D453" t="s">
        <v>15</v>
      </c>
      <c r="E453" s="1">
        <v>1052028</v>
      </c>
      <c r="F453">
        <v>0.11600000000000001</v>
      </c>
      <c r="G453">
        <v>20</v>
      </c>
      <c r="H453" t="s">
        <v>1788</v>
      </c>
      <c r="I453">
        <v>0</v>
      </c>
      <c r="J453" s="1" t="s">
        <v>481</v>
      </c>
    </row>
    <row r="454" spans="1:10" x14ac:dyDescent="0.3">
      <c r="A454">
        <v>453</v>
      </c>
      <c r="B454" t="s">
        <v>2240</v>
      </c>
      <c r="C454" t="s">
        <v>1788</v>
      </c>
      <c r="D454" t="s">
        <v>15</v>
      </c>
      <c r="E454" s="1">
        <v>1037663</v>
      </c>
      <c r="F454">
        <v>0.10299999999999999</v>
      </c>
      <c r="G454">
        <v>15</v>
      </c>
      <c r="H454" t="s">
        <v>11</v>
      </c>
      <c r="I454">
        <v>10</v>
      </c>
      <c r="J454" s="1" t="s">
        <v>1163</v>
      </c>
    </row>
    <row r="455" spans="1:10" x14ac:dyDescent="0.3">
      <c r="A455">
        <v>454</v>
      </c>
      <c r="B455" t="s">
        <v>2241</v>
      </c>
      <c r="C455" t="s">
        <v>367</v>
      </c>
      <c r="D455" t="s">
        <v>15</v>
      </c>
      <c r="E455" s="1">
        <v>517472</v>
      </c>
      <c r="F455">
        <v>0.11600000000000001</v>
      </c>
      <c r="G455">
        <v>25</v>
      </c>
      <c r="H455" t="s">
        <v>1788</v>
      </c>
      <c r="I455">
        <v>0</v>
      </c>
      <c r="J455" s="1" t="s">
        <v>1165</v>
      </c>
    </row>
    <row r="456" spans="1:10" x14ac:dyDescent="0.3">
      <c r="A456">
        <v>455</v>
      </c>
      <c r="B456" t="s">
        <v>2242</v>
      </c>
      <c r="C456" t="s">
        <v>766</v>
      </c>
      <c r="D456" t="s">
        <v>1167</v>
      </c>
      <c r="E456" s="1">
        <v>542552</v>
      </c>
      <c r="F456">
        <v>0.107</v>
      </c>
      <c r="G456">
        <v>15</v>
      </c>
      <c r="H456" t="s">
        <v>1788</v>
      </c>
      <c r="I456">
        <v>1</v>
      </c>
      <c r="J456" s="1" t="s">
        <v>1168</v>
      </c>
    </row>
    <row r="457" spans="1:10" x14ac:dyDescent="0.3">
      <c r="A457">
        <v>456</v>
      </c>
      <c r="B457" t="s">
        <v>2243</v>
      </c>
      <c r="C457" t="s">
        <v>1788</v>
      </c>
      <c r="D457" t="s">
        <v>1170</v>
      </c>
      <c r="E457" s="1">
        <v>761820</v>
      </c>
      <c r="F457">
        <v>0.09</v>
      </c>
      <c r="G457">
        <v>30</v>
      </c>
      <c r="H457" t="s">
        <v>11</v>
      </c>
      <c r="I457">
        <v>11</v>
      </c>
      <c r="J457" s="1" t="s">
        <v>15</v>
      </c>
    </row>
    <row r="458" spans="1:10" x14ac:dyDescent="0.3">
      <c r="A458">
        <v>457</v>
      </c>
      <c r="B458" t="s">
        <v>2244</v>
      </c>
      <c r="C458" t="s">
        <v>11</v>
      </c>
      <c r="D458" t="s">
        <v>1172</v>
      </c>
      <c r="E458" s="1">
        <v>1547686</v>
      </c>
      <c r="F458">
        <v>8.7999999999999995E-2</v>
      </c>
      <c r="G458">
        <v>25</v>
      </c>
      <c r="H458" t="s">
        <v>1788</v>
      </c>
      <c r="I458">
        <v>9</v>
      </c>
      <c r="J458" s="1" t="s">
        <v>15</v>
      </c>
    </row>
    <row r="459" spans="1:10" x14ac:dyDescent="0.3">
      <c r="A459">
        <v>458</v>
      </c>
      <c r="B459" t="s">
        <v>2245</v>
      </c>
      <c r="C459" t="s">
        <v>11</v>
      </c>
      <c r="D459" t="s">
        <v>1174</v>
      </c>
      <c r="E459" s="1">
        <v>630320</v>
      </c>
      <c r="F459">
        <v>0.106</v>
      </c>
      <c r="G459">
        <v>30</v>
      </c>
      <c r="H459" t="s">
        <v>1788</v>
      </c>
      <c r="I459">
        <v>5</v>
      </c>
      <c r="J459" s="1" t="s">
        <v>1175</v>
      </c>
    </row>
    <row r="460" spans="1:10" x14ac:dyDescent="0.3">
      <c r="A460">
        <v>459</v>
      </c>
      <c r="B460" t="s">
        <v>2246</v>
      </c>
      <c r="C460" t="s">
        <v>11</v>
      </c>
      <c r="D460" t="s">
        <v>15</v>
      </c>
      <c r="E460" s="1">
        <v>1139112</v>
      </c>
      <c r="F460">
        <v>0.107</v>
      </c>
      <c r="G460">
        <v>25</v>
      </c>
      <c r="H460" t="s">
        <v>11</v>
      </c>
      <c r="I460">
        <v>4</v>
      </c>
      <c r="J460" s="1" t="s">
        <v>1177</v>
      </c>
    </row>
    <row r="461" spans="1:10" x14ac:dyDescent="0.3">
      <c r="A461">
        <v>460</v>
      </c>
      <c r="B461" t="s">
        <v>2247</v>
      </c>
      <c r="C461" t="s">
        <v>217</v>
      </c>
      <c r="D461" t="s">
        <v>1179</v>
      </c>
      <c r="E461" s="1">
        <v>1248959</v>
      </c>
      <c r="F461">
        <v>9.9000000000000005E-2</v>
      </c>
      <c r="G461">
        <v>15</v>
      </c>
      <c r="H461" t="s">
        <v>1788</v>
      </c>
      <c r="I461">
        <v>14</v>
      </c>
      <c r="J461" s="1" t="s">
        <v>1180</v>
      </c>
    </row>
    <row r="462" spans="1:10" x14ac:dyDescent="0.3">
      <c r="A462">
        <v>461</v>
      </c>
      <c r="B462" t="s">
        <v>2248</v>
      </c>
      <c r="C462" t="s">
        <v>215</v>
      </c>
      <c r="D462" t="s">
        <v>1182</v>
      </c>
      <c r="E462" s="1">
        <v>940760</v>
      </c>
      <c r="F462">
        <v>9.8000000000000004E-2</v>
      </c>
      <c r="G462">
        <v>30</v>
      </c>
      <c r="H462" t="s">
        <v>731</v>
      </c>
      <c r="I462">
        <v>7</v>
      </c>
      <c r="J462" s="1" t="s">
        <v>15</v>
      </c>
    </row>
    <row r="463" spans="1:10" x14ac:dyDescent="0.3">
      <c r="A463">
        <v>462</v>
      </c>
      <c r="B463" t="s">
        <v>2249</v>
      </c>
      <c r="C463" t="s">
        <v>11</v>
      </c>
      <c r="D463" t="s">
        <v>1184</v>
      </c>
      <c r="E463" s="1">
        <v>1301973</v>
      </c>
      <c r="F463">
        <v>0.11</v>
      </c>
      <c r="G463">
        <v>30</v>
      </c>
      <c r="H463" t="s">
        <v>1788</v>
      </c>
      <c r="I463">
        <v>10</v>
      </c>
      <c r="J463" s="1" t="s">
        <v>1185</v>
      </c>
    </row>
    <row r="464" spans="1:10" x14ac:dyDescent="0.3">
      <c r="A464">
        <v>463</v>
      </c>
      <c r="B464" t="s">
        <v>2250</v>
      </c>
      <c r="C464" t="s">
        <v>1788</v>
      </c>
      <c r="D464" t="s">
        <v>1187</v>
      </c>
      <c r="E464" s="1">
        <v>1761103</v>
      </c>
      <c r="F464">
        <v>0.11700000000000001</v>
      </c>
      <c r="G464">
        <v>30</v>
      </c>
      <c r="H464" t="s">
        <v>1788</v>
      </c>
      <c r="I464">
        <v>12</v>
      </c>
      <c r="J464" s="1" t="s">
        <v>15</v>
      </c>
    </row>
    <row r="465" spans="1:10" x14ac:dyDescent="0.3">
      <c r="A465">
        <v>464</v>
      </c>
      <c r="B465" t="s">
        <v>2251</v>
      </c>
      <c r="C465" t="s">
        <v>11</v>
      </c>
      <c r="D465" t="s">
        <v>1189</v>
      </c>
      <c r="E465" s="1">
        <v>785642</v>
      </c>
      <c r="F465">
        <v>0.11</v>
      </c>
      <c r="G465">
        <v>25</v>
      </c>
      <c r="H465" t="s">
        <v>11</v>
      </c>
      <c r="I465">
        <v>9</v>
      </c>
      <c r="J465" s="1" t="s">
        <v>1190</v>
      </c>
    </row>
    <row r="466" spans="1:10" x14ac:dyDescent="0.3">
      <c r="A466">
        <v>465</v>
      </c>
      <c r="B466" t="s">
        <v>2252</v>
      </c>
      <c r="C466" t="s">
        <v>468</v>
      </c>
      <c r="D466" t="s">
        <v>15</v>
      </c>
      <c r="E466" s="1">
        <v>846317</v>
      </c>
      <c r="F466">
        <v>8.4000000000000005E-2</v>
      </c>
      <c r="G466">
        <v>30</v>
      </c>
      <c r="H466" t="s">
        <v>11</v>
      </c>
      <c r="I466">
        <v>7</v>
      </c>
      <c r="J466" s="1" t="s">
        <v>15</v>
      </c>
    </row>
    <row r="467" spans="1:10" x14ac:dyDescent="0.3">
      <c r="A467">
        <v>466</v>
      </c>
      <c r="B467" t="s">
        <v>2253</v>
      </c>
      <c r="C467" t="s">
        <v>371</v>
      </c>
      <c r="D467" t="s">
        <v>1193</v>
      </c>
      <c r="E467" s="1">
        <v>2213036</v>
      </c>
      <c r="F467">
        <v>9.6000000000000002E-2</v>
      </c>
      <c r="G467">
        <v>30</v>
      </c>
      <c r="H467" t="s">
        <v>11</v>
      </c>
      <c r="I467">
        <v>10</v>
      </c>
      <c r="J467" s="1" t="s">
        <v>1194</v>
      </c>
    </row>
    <row r="468" spans="1:10" x14ac:dyDescent="0.3">
      <c r="A468">
        <v>467</v>
      </c>
      <c r="B468" t="s">
        <v>2254</v>
      </c>
      <c r="C468" t="s">
        <v>11</v>
      </c>
      <c r="D468" t="s">
        <v>1196</v>
      </c>
      <c r="E468" s="1">
        <v>1636204</v>
      </c>
      <c r="F468">
        <v>0.115</v>
      </c>
      <c r="G468">
        <v>15</v>
      </c>
      <c r="H468" t="s">
        <v>981</v>
      </c>
      <c r="I468">
        <v>3</v>
      </c>
      <c r="J468" s="1" t="s">
        <v>1197</v>
      </c>
    </row>
    <row r="469" spans="1:10" x14ac:dyDescent="0.3">
      <c r="A469">
        <v>468</v>
      </c>
      <c r="B469" t="s">
        <v>2255</v>
      </c>
      <c r="C469" t="s">
        <v>1788</v>
      </c>
      <c r="D469" t="s">
        <v>15</v>
      </c>
      <c r="E469" s="1">
        <v>2456783</v>
      </c>
      <c r="F469">
        <v>9.6000000000000002E-2</v>
      </c>
      <c r="G469">
        <v>10</v>
      </c>
      <c r="H469" t="s">
        <v>11</v>
      </c>
      <c r="I469">
        <v>10</v>
      </c>
      <c r="J469" s="1" t="s">
        <v>15</v>
      </c>
    </row>
    <row r="470" spans="1:10" x14ac:dyDescent="0.3">
      <c r="A470">
        <v>469</v>
      </c>
      <c r="B470" t="s">
        <v>2256</v>
      </c>
      <c r="C470" t="s">
        <v>520</v>
      </c>
      <c r="D470" t="s">
        <v>1200</v>
      </c>
      <c r="E470" s="1">
        <v>967363</v>
      </c>
      <c r="F470">
        <v>0.105</v>
      </c>
      <c r="G470">
        <v>25</v>
      </c>
      <c r="H470" t="s">
        <v>11</v>
      </c>
      <c r="I470">
        <v>1</v>
      </c>
      <c r="J470" s="1" t="s">
        <v>15</v>
      </c>
    </row>
    <row r="471" spans="1:10" x14ac:dyDescent="0.3">
      <c r="A471">
        <v>470</v>
      </c>
      <c r="B471" t="s">
        <v>2257</v>
      </c>
      <c r="C471" t="s">
        <v>11</v>
      </c>
      <c r="D471" t="s">
        <v>1202</v>
      </c>
      <c r="E471" s="1">
        <v>1784002</v>
      </c>
      <c r="F471">
        <v>0.111</v>
      </c>
      <c r="G471">
        <v>15</v>
      </c>
      <c r="H471" t="s">
        <v>985</v>
      </c>
      <c r="I471">
        <v>12</v>
      </c>
      <c r="J471" s="1" t="s">
        <v>1203</v>
      </c>
    </row>
    <row r="472" spans="1:10" x14ac:dyDescent="0.3">
      <c r="A472">
        <v>471</v>
      </c>
      <c r="B472" t="s">
        <v>2258</v>
      </c>
      <c r="C472" t="s">
        <v>11</v>
      </c>
      <c r="D472" t="s">
        <v>15</v>
      </c>
      <c r="E472" s="1">
        <v>1189241</v>
      </c>
      <c r="F472">
        <v>8.7999999999999995E-2</v>
      </c>
      <c r="G472">
        <v>15</v>
      </c>
      <c r="H472" t="s">
        <v>11</v>
      </c>
      <c r="I472">
        <v>12</v>
      </c>
      <c r="J472" s="1" t="s">
        <v>1205</v>
      </c>
    </row>
    <row r="473" spans="1:10" x14ac:dyDescent="0.3">
      <c r="A473">
        <v>472</v>
      </c>
      <c r="B473" t="s">
        <v>2259</v>
      </c>
      <c r="C473" t="s">
        <v>11</v>
      </c>
      <c r="D473" t="s">
        <v>1207</v>
      </c>
      <c r="E473" s="1">
        <v>2116095</v>
      </c>
      <c r="F473">
        <v>8.4000000000000005E-2</v>
      </c>
      <c r="G473">
        <v>30</v>
      </c>
      <c r="H473" t="s">
        <v>1208</v>
      </c>
      <c r="I473">
        <v>4</v>
      </c>
      <c r="J473" s="1" t="s">
        <v>15</v>
      </c>
    </row>
    <row r="474" spans="1:10" x14ac:dyDescent="0.3">
      <c r="A474">
        <v>473</v>
      </c>
      <c r="B474" t="s">
        <v>2260</v>
      </c>
      <c r="C474" t="s">
        <v>11</v>
      </c>
      <c r="D474" t="s">
        <v>15</v>
      </c>
      <c r="E474" s="1">
        <v>965637</v>
      </c>
      <c r="F474">
        <v>8.2000000000000003E-2</v>
      </c>
      <c r="G474">
        <v>30</v>
      </c>
      <c r="H474" t="s">
        <v>1115</v>
      </c>
      <c r="I474">
        <v>11</v>
      </c>
      <c r="J474" s="1" t="s">
        <v>1210</v>
      </c>
    </row>
    <row r="475" spans="1:10" x14ac:dyDescent="0.3">
      <c r="A475">
        <v>474</v>
      </c>
      <c r="B475" t="s">
        <v>2261</v>
      </c>
      <c r="C475" t="s">
        <v>11</v>
      </c>
      <c r="D475" t="s">
        <v>1212</v>
      </c>
      <c r="E475" s="1">
        <v>1408382</v>
      </c>
      <c r="F475">
        <v>9.8000000000000004E-2</v>
      </c>
      <c r="G475">
        <v>15</v>
      </c>
      <c r="H475" t="s">
        <v>1788</v>
      </c>
      <c r="I475">
        <v>13</v>
      </c>
      <c r="J475" s="1" t="s">
        <v>15</v>
      </c>
    </row>
    <row r="476" spans="1:10" x14ac:dyDescent="0.3">
      <c r="A476">
        <v>475</v>
      </c>
      <c r="B476" t="s">
        <v>2262</v>
      </c>
      <c r="C476" t="s">
        <v>523</v>
      </c>
      <c r="D476" t="s">
        <v>1214</v>
      </c>
      <c r="E476" s="1">
        <v>2180138</v>
      </c>
      <c r="F476">
        <v>0.109</v>
      </c>
      <c r="G476">
        <v>20</v>
      </c>
      <c r="H476" t="s">
        <v>1788</v>
      </c>
      <c r="I476">
        <v>8</v>
      </c>
      <c r="J476" s="1" t="s">
        <v>1215</v>
      </c>
    </row>
    <row r="477" spans="1:10" x14ac:dyDescent="0.3">
      <c r="A477">
        <v>476</v>
      </c>
      <c r="B477" t="s">
        <v>2263</v>
      </c>
      <c r="C477" t="s">
        <v>11</v>
      </c>
      <c r="D477" t="s">
        <v>1217</v>
      </c>
      <c r="E477" s="1">
        <v>1328735</v>
      </c>
      <c r="F477">
        <v>8.6999999999999994E-2</v>
      </c>
      <c r="G477">
        <v>20</v>
      </c>
      <c r="H477" t="s">
        <v>11</v>
      </c>
      <c r="I477">
        <v>15</v>
      </c>
      <c r="J477" s="1" t="s">
        <v>15</v>
      </c>
    </row>
    <row r="478" spans="1:10" x14ac:dyDescent="0.3">
      <c r="A478">
        <v>477</v>
      </c>
      <c r="B478" t="s">
        <v>2264</v>
      </c>
      <c r="C478" t="s">
        <v>11</v>
      </c>
      <c r="D478" t="s">
        <v>1219</v>
      </c>
      <c r="E478" s="1">
        <v>2250695</v>
      </c>
      <c r="F478">
        <v>0.109</v>
      </c>
      <c r="G478">
        <v>30</v>
      </c>
      <c r="H478" t="s">
        <v>11</v>
      </c>
      <c r="I478">
        <v>7</v>
      </c>
      <c r="J478" s="1" t="s">
        <v>15</v>
      </c>
    </row>
    <row r="479" spans="1:10" x14ac:dyDescent="0.3">
      <c r="A479">
        <v>478</v>
      </c>
      <c r="B479" t="s">
        <v>2265</v>
      </c>
      <c r="C479" t="s">
        <v>11</v>
      </c>
      <c r="D479" t="s">
        <v>1221</v>
      </c>
      <c r="E479" s="1">
        <v>1193594</v>
      </c>
      <c r="F479">
        <v>0.09</v>
      </c>
      <c r="G479">
        <v>25</v>
      </c>
      <c r="H479" t="s">
        <v>1788</v>
      </c>
      <c r="I479">
        <v>4</v>
      </c>
      <c r="J479" s="1" t="s">
        <v>1222</v>
      </c>
    </row>
    <row r="480" spans="1:10" x14ac:dyDescent="0.3">
      <c r="A480">
        <v>479</v>
      </c>
      <c r="B480" t="s">
        <v>2266</v>
      </c>
      <c r="C480" t="s">
        <v>1788</v>
      </c>
      <c r="D480" t="s">
        <v>15</v>
      </c>
      <c r="E480" s="1">
        <v>1830457</v>
      </c>
      <c r="F480">
        <v>0.107</v>
      </c>
      <c r="G480">
        <v>15</v>
      </c>
      <c r="H480" t="s">
        <v>1788</v>
      </c>
      <c r="I480">
        <v>10</v>
      </c>
      <c r="J480" s="1" t="s">
        <v>15</v>
      </c>
    </row>
    <row r="481" spans="1:10" x14ac:dyDescent="0.3">
      <c r="A481">
        <v>480</v>
      </c>
      <c r="B481" t="s">
        <v>2267</v>
      </c>
      <c r="C481" t="s">
        <v>262</v>
      </c>
      <c r="D481" t="s">
        <v>1225</v>
      </c>
      <c r="E481" s="1">
        <v>2364970</v>
      </c>
      <c r="F481">
        <v>0.11799999999999999</v>
      </c>
      <c r="G481">
        <v>20</v>
      </c>
      <c r="H481" t="s">
        <v>1788</v>
      </c>
      <c r="I481">
        <v>8</v>
      </c>
      <c r="J481" s="1" t="s">
        <v>1226</v>
      </c>
    </row>
    <row r="482" spans="1:10" x14ac:dyDescent="0.3">
      <c r="A482">
        <v>481</v>
      </c>
      <c r="B482" t="s">
        <v>2268</v>
      </c>
      <c r="C482" t="s">
        <v>11</v>
      </c>
      <c r="D482" t="s">
        <v>15</v>
      </c>
      <c r="E482" s="1">
        <v>693125</v>
      </c>
      <c r="F482">
        <v>8.8999999999999996E-2</v>
      </c>
      <c r="G482">
        <v>25</v>
      </c>
      <c r="H482" t="s">
        <v>1788</v>
      </c>
      <c r="I482">
        <v>13</v>
      </c>
      <c r="J482" s="1" t="s">
        <v>15</v>
      </c>
    </row>
    <row r="483" spans="1:10" x14ac:dyDescent="0.3">
      <c r="A483">
        <v>482</v>
      </c>
      <c r="B483" t="s">
        <v>2269</v>
      </c>
      <c r="C483" t="s">
        <v>1788</v>
      </c>
      <c r="D483" t="s">
        <v>1229</v>
      </c>
      <c r="E483" s="1">
        <v>1281594</v>
      </c>
      <c r="F483">
        <v>0.105</v>
      </c>
      <c r="G483">
        <v>15</v>
      </c>
      <c r="H483" t="s">
        <v>1230</v>
      </c>
      <c r="I483">
        <v>4</v>
      </c>
      <c r="J483" s="1" t="s">
        <v>15</v>
      </c>
    </row>
    <row r="484" spans="1:10" x14ac:dyDescent="0.3">
      <c r="A484">
        <v>483</v>
      </c>
      <c r="B484" t="s">
        <v>2270</v>
      </c>
      <c r="C484" t="s">
        <v>1788</v>
      </c>
      <c r="D484" t="s">
        <v>1232</v>
      </c>
      <c r="E484" s="1">
        <v>709517</v>
      </c>
      <c r="F484">
        <v>9.2999999999999999E-2</v>
      </c>
      <c r="G484">
        <v>15</v>
      </c>
      <c r="H484" t="s">
        <v>1788</v>
      </c>
      <c r="I484">
        <v>2</v>
      </c>
      <c r="J484" s="1" t="s">
        <v>15</v>
      </c>
    </row>
    <row r="485" spans="1:10" x14ac:dyDescent="0.3">
      <c r="A485">
        <v>484</v>
      </c>
      <c r="B485" t="s">
        <v>2271</v>
      </c>
      <c r="C485" t="s">
        <v>695</v>
      </c>
      <c r="D485" t="s">
        <v>15</v>
      </c>
      <c r="E485" s="1">
        <v>1028813</v>
      </c>
      <c r="F485">
        <v>0.107</v>
      </c>
      <c r="G485">
        <v>20</v>
      </c>
      <c r="H485" t="s">
        <v>11</v>
      </c>
      <c r="I485">
        <v>3</v>
      </c>
      <c r="J485" s="1" t="s">
        <v>15</v>
      </c>
    </row>
    <row r="486" spans="1:10" x14ac:dyDescent="0.3">
      <c r="A486">
        <v>485</v>
      </c>
      <c r="B486" t="s">
        <v>2272</v>
      </c>
      <c r="C486" t="s">
        <v>520</v>
      </c>
      <c r="D486" t="s">
        <v>1235</v>
      </c>
      <c r="E486" s="1">
        <v>2304137</v>
      </c>
      <c r="F486">
        <v>0.113</v>
      </c>
      <c r="G486">
        <v>15</v>
      </c>
      <c r="H486" t="s">
        <v>11</v>
      </c>
      <c r="I486">
        <v>15</v>
      </c>
      <c r="J486" s="1" t="s">
        <v>15</v>
      </c>
    </row>
    <row r="487" spans="1:10" x14ac:dyDescent="0.3">
      <c r="A487">
        <v>486</v>
      </c>
      <c r="B487" t="s">
        <v>2273</v>
      </c>
      <c r="C487" t="s">
        <v>11</v>
      </c>
      <c r="D487" t="s">
        <v>15</v>
      </c>
      <c r="E487" s="1">
        <v>816975</v>
      </c>
      <c r="F487">
        <v>8.7999999999999995E-2</v>
      </c>
      <c r="G487">
        <v>30</v>
      </c>
      <c r="H487" t="s">
        <v>1788</v>
      </c>
      <c r="I487">
        <v>3</v>
      </c>
      <c r="J487" s="1" t="s">
        <v>1237</v>
      </c>
    </row>
    <row r="488" spans="1:10" x14ac:dyDescent="0.3">
      <c r="A488">
        <v>487</v>
      </c>
      <c r="B488" t="s">
        <v>2274</v>
      </c>
      <c r="C488" t="s">
        <v>1788</v>
      </c>
      <c r="D488" t="s">
        <v>15</v>
      </c>
      <c r="E488" s="1">
        <v>2329777</v>
      </c>
      <c r="F488">
        <v>0.11799999999999999</v>
      </c>
      <c r="G488">
        <v>10</v>
      </c>
      <c r="H488" t="s">
        <v>1788</v>
      </c>
      <c r="I488">
        <v>1</v>
      </c>
      <c r="J488" s="1" t="s">
        <v>15</v>
      </c>
    </row>
    <row r="489" spans="1:10" x14ac:dyDescent="0.3">
      <c r="A489">
        <v>488</v>
      </c>
      <c r="B489" t="s">
        <v>2275</v>
      </c>
      <c r="C489" t="s">
        <v>367</v>
      </c>
      <c r="D489" t="s">
        <v>1240</v>
      </c>
      <c r="E489" s="1">
        <v>1212935</v>
      </c>
      <c r="F489">
        <v>0.11899999999999999</v>
      </c>
      <c r="G489">
        <v>15</v>
      </c>
      <c r="H489" t="s">
        <v>81</v>
      </c>
      <c r="I489">
        <v>2</v>
      </c>
      <c r="J489" s="1" t="s">
        <v>15</v>
      </c>
    </row>
    <row r="490" spans="1:10" x14ac:dyDescent="0.3">
      <c r="A490">
        <v>489</v>
      </c>
      <c r="B490" t="s">
        <v>2276</v>
      </c>
      <c r="C490" t="s">
        <v>59</v>
      </c>
      <c r="D490" t="s">
        <v>1242</v>
      </c>
      <c r="E490" s="1">
        <v>1326006</v>
      </c>
      <c r="F490">
        <v>8.7999999999999995E-2</v>
      </c>
      <c r="G490">
        <v>15</v>
      </c>
      <c r="H490" t="s">
        <v>11</v>
      </c>
      <c r="I490">
        <v>15</v>
      </c>
      <c r="J490" s="1" t="s">
        <v>1243</v>
      </c>
    </row>
    <row r="491" spans="1:10" x14ac:dyDescent="0.3">
      <c r="A491">
        <v>490</v>
      </c>
      <c r="B491" t="s">
        <v>2277</v>
      </c>
      <c r="C491" t="s">
        <v>865</v>
      </c>
      <c r="D491" t="s">
        <v>15</v>
      </c>
      <c r="E491" s="1">
        <v>1513755</v>
      </c>
      <c r="F491">
        <v>9.9000000000000005E-2</v>
      </c>
      <c r="G491">
        <v>15</v>
      </c>
      <c r="H491" t="s">
        <v>796</v>
      </c>
      <c r="I491">
        <v>14</v>
      </c>
      <c r="J491" s="1" t="s">
        <v>15</v>
      </c>
    </row>
    <row r="492" spans="1:10" x14ac:dyDescent="0.3">
      <c r="A492">
        <v>491</v>
      </c>
      <c r="B492" t="s">
        <v>2278</v>
      </c>
      <c r="C492" t="s">
        <v>1246</v>
      </c>
      <c r="D492" t="s">
        <v>1247</v>
      </c>
      <c r="E492" s="1">
        <v>2233030</v>
      </c>
      <c r="F492">
        <v>9.4E-2</v>
      </c>
      <c r="G492">
        <v>20</v>
      </c>
      <c r="H492" t="s">
        <v>1788</v>
      </c>
      <c r="I492">
        <v>5</v>
      </c>
      <c r="J492" s="1" t="s">
        <v>1248</v>
      </c>
    </row>
    <row r="493" spans="1:10" x14ac:dyDescent="0.3">
      <c r="A493">
        <v>492</v>
      </c>
      <c r="B493" t="s">
        <v>2279</v>
      </c>
      <c r="C493" t="s">
        <v>1788</v>
      </c>
      <c r="D493" t="s">
        <v>15</v>
      </c>
      <c r="E493" s="1">
        <v>1074609</v>
      </c>
      <c r="F493">
        <v>9.6000000000000002E-2</v>
      </c>
      <c r="G493">
        <v>20</v>
      </c>
      <c r="H493" t="s">
        <v>11</v>
      </c>
      <c r="I493">
        <v>1</v>
      </c>
      <c r="J493" s="1" t="s">
        <v>1250</v>
      </c>
    </row>
    <row r="494" spans="1:10" x14ac:dyDescent="0.3">
      <c r="A494">
        <v>493</v>
      </c>
      <c r="B494" t="s">
        <v>2280</v>
      </c>
      <c r="C494" t="s">
        <v>11</v>
      </c>
      <c r="D494" t="s">
        <v>1252</v>
      </c>
      <c r="E494" s="1">
        <v>2348749</v>
      </c>
      <c r="F494">
        <v>9.9000000000000005E-2</v>
      </c>
      <c r="G494">
        <v>10</v>
      </c>
      <c r="H494" t="s">
        <v>11</v>
      </c>
      <c r="I494">
        <v>4</v>
      </c>
      <c r="J494" s="1" t="s">
        <v>15</v>
      </c>
    </row>
    <row r="495" spans="1:10" x14ac:dyDescent="0.3">
      <c r="A495">
        <v>494</v>
      </c>
      <c r="B495" t="s">
        <v>2281</v>
      </c>
      <c r="C495" t="s">
        <v>1788</v>
      </c>
      <c r="D495" t="s">
        <v>15</v>
      </c>
      <c r="E495" s="1">
        <v>1695410</v>
      </c>
      <c r="F495">
        <v>8.3000000000000004E-2</v>
      </c>
      <c r="G495">
        <v>30</v>
      </c>
      <c r="H495" t="s">
        <v>11</v>
      </c>
      <c r="I495">
        <v>1</v>
      </c>
      <c r="J495" s="1" t="s">
        <v>1254</v>
      </c>
    </row>
    <row r="496" spans="1:10" x14ac:dyDescent="0.3">
      <c r="A496">
        <v>495</v>
      </c>
      <c r="B496" t="s">
        <v>2282</v>
      </c>
      <c r="C496" t="s">
        <v>411</v>
      </c>
      <c r="D496" t="s">
        <v>1256</v>
      </c>
      <c r="E496" s="1">
        <v>2216317</v>
      </c>
      <c r="F496">
        <v>9.1999999999999998E-2</v>
      </c>
      <c r="G496">
        <v>10</v>
      </c>
      <c r="H496" t="s">
        <v>11</v>
      </c>
      <c r="I496">
        <v>8</v>
      </c>
      <c r="J496" s="1" t="s">
        <v>1257</v>
      </c>
    </row>
    <row r="497" spans="1:10" x14ac:dyDescent="0.3">
      <c r="A497">
        <v>496</v>
      </c>
      <c r="B497" t="s">
        <v>2283</v>
      </c>
      <c r="C497" t="s">
        <v>1788</v>
      </c>
      <c r="D497" t="s">
        <v>1259</v>
      </c>
      <c r="E497" s="1">
        <v>922902</v>
      </c>
      <c r="F497">
        <v>8.3000000000000004E-2</v>
      </c>
      <c r="G497">
        <v>20</v>
      </c>
      <c r="H497" t="s">
        <v>11</v>
      </c>
      <c r="I497">
        <v>13</v>
      </c>
      <c r="J497" s="1" t="s">
        <v>1260</v>
      </c>
    </row>
    <row r="498" spans="1:10" x14ac:dyDescent="0.3">
      <c r="A498">
        <v>497</v>
      </c>
      <c r="B498" t="s">
        <v>2284</v>
      </c>
      <c r="C498" t="s">
        <v>11</v>
      </c>
      <c r="D498" t="s">
        <v>1262</v>
      </c>
      <c r="E498" s="1">
        <v>918645</v>
      </c>
      <c r="F498">
        <v>0.11600000000000001</v>
      </c>
      <c r="G498">
        <v>20</v>
      </c>
      <c r="H498" t="s">
        <v>1788</v>
      </c>
      <c r="I498">
        <v>4</v>
      </c>
      <c r="J498" s="1" t="s">
        <v>1263</v>
      </c>
    </row>
    <row r="499" spans="1:10" x14ac:dyDescent="0.3">
      <c r="A499">
        <v>498</v>
      </c>
      <c r="B499" t="s">
        <v>2285</v>
      </c>
      <c r="C499" t="s">
        <v>1788</v>
      </c>
      <c r="D499" t="s">
        <v>15</v>
      </c>
      <c r="E499" s="1">
        <v>982402</v>
      </c>
      <c r="F499">
        <v>0.11600000000000001</v>
      </c>
      <c r="G499">
        <v>25</v>
      </c>
      <c r="H499" t="s">
        <v>11</v>
      </c>
      <c r="I499">
        <v>1</v>
      </c>
      <c r="J499" s="1" t="s">
        <v>1265</v>
      </c>
    </row>
    <row r="500" spans="1:10" x14ac:dyDescent="0.3">
      <c r="A500">
        <v>499</v>
      </c>
      <c r="B500" t="s">
        <v>2286</v>
      </c>
      <c r="C500" t="s">
        <v>11</v>
      </c>
      <c r="D500" t="s">
        <v>1267</v>
      </c>
      <c r="E500" s="1">
        <v>1698730</v>
      </c>
      <c r="F500">
        <v>0.11600000000000001</v>
      </c>
      <c r="G500">
        <v>30</v>
      </c>
      <c r="H500" t="s">
        <v>11</v>
      </c>
      <c r="I500">
        <v>13</v>
      </c>
      <c r="J500" s="1" t="s">
        <v>15</v>
      </c>
    </row>
    <row r="501" spans="1:10" x14ac:dyDescent="0.3">
      <c r="A501">
        <v>500</v>
      </c>
      <c r="B501" t="s">
        <v>2287</v>
      </c>
      <c r="C501" t="s">
        <v>1788</v>
      </c>
      <c r="D501" t="s">
        <v>1269</v>
      </c>
      <c r="E501" s="1">
        <v>526704</v>
      </c>
      <c r="F501">
        <v>8.6999999999999994E-2</v>
      </c>
      <c r="G501">
        <v>20</v>
      </c>
      <c r="H501" t="s">
        <v>1270</v>
      </c>
      <c r="I501">
        <v>8</v>
      </c>
      <c r="J501" s="1" t="s">
        <v>15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8E450-9331-40BA-9B35-400F37387CF6}">
  <sheetPr codeName="Sheet2"/>
  <dimension ref="A1:J501"/>
  <sheetViews>
    <sheetView workbookViewId="0">
      <selection activeCell="M5" sqref="M5"/>
    </sheetView>
  </sheetViews>
  <sheetFormatPr defaultRowHeight="14.4" x14ac:dyDescent="0.3"/>
  <cols>
    <col min="1" max="1" width="5" bestFit="1" customWidth="1"/>
    <col min="2" max="2" width="14" bestFit="1" customWidth="1"/>
    <col min="3" max="3" width="6.21875" bestFit="1" customWidth="1"/>
    <col min="4" max="4" width="16.88671875" bestFit="1" customWidth="1"/>
    <col min="5" max="5" width="14.33203125" bestFit="1" customWidth="1"/>
    <col min="6" max="6" width="13.44140625" bestFit="1" customWidth="1"/>
    <col min="7" max="7" width="12.77734375" bestFit="1" customWidth="1"/>
    <col min="8" max="8" width="14" bestFit="1" customWidth="1"/>
    <col min="9" max="9" width="19.21875" bestFit="1" customWidth="1"/>
    <col min="10" max="10" width="14.21875" bestFit="1" customWidth="1"/>
  </cols>
  <sheetData>
    <row r="1" spans="1:10" x14ac:dyDescent="0.3">
      <c r="A1" t="s">
        <v>0</v>
      </c>
      <c r="B1" t="s">
        <v>1</v>
      </c>
      <c r="C1" t="s">
        <v>2</v>
      </c>
      <c r="D1" t="s">
        <v>3</v>
      </c>
      <c r="E1" t="s">
        <v>4</v>
      </c>
      <c r="F1" t="s">
        <v>5</v>
      </c>
      <c r="G1" t="s">
        <v>6</v>
      </c>
      <c r="H1" t="s">
        <v>7</v>
      </c>
      <c r="I1" t="s">
        <v>8</v>
      </c>
      <c r="J1" t="s">
        <v>9</v>
      </c>
    </row>
    <row r="2" spans="1:10" x14ac:dyDescent="0.3">
      <c r="A2">
        <v>1</v>
      </c>
      <c r="B2" t="s">
        <v>10</v>
      </c>
      <c r="C2" t="s">
        <v>11</v>
      </c>
      <c r="D2" t="s">
        <v>12</v>
      </c>
      <c r="E2">
        <v>2129720</v>
      </c>
      <c r="F2">
        <v>0.113</v>
      </c>
      <c r="G2">
        <v>15</v>
      </c>
      <c r="H2" t="s">
        <v>11</v>
      </c>
      <c r="I2">
        <v>4</v>
      </c>
      <c r="J2" t="s">
        <v>13</v>
      </c>
    </row>
    <row r="3" spans="1:10" x14ac:dyDescent="0.3">
      <c r="A3">
        <v>2</v>
      </c>
      <c r="B3" t="s">
        <v>14</v>
      </c>
      <c r="C3" t="s">
        <v>11</v>
      </c>
      <c r="D3" t="s">
        <v>15</v>
      </c>
      <c r="E3">
        <v>1848806</v>
      </c>
      <c r="F3">
        <v>0.11799999999999999</v>
      </c>
      <c r="G3">
        <v>25</v>
      </c>
      <c r="H3" t="s">
        <v>11</v>
      </c>
      <c r="I3">
        <v>6</v>
      </c>
      <c r="J3" t="s">
        <v>16</v>
      </c>
    </row>
    <row r="4" spans="1:10" x14ac:dyDescent="0.3">
      <c r="A4">
        <v>3</v>
      </c>
      <c r="B4" t="s">
        <v>17</v>
      </c>
      <c r="C4" t="s">
        <v>11</v>
      </c>
      <c r="D4" t="s">
        <v>18</v>
      </c>
      <c r="E4">
        <v>892770</v>
      </c>
      <c r="F4">
        <v>0.109</v>
      </c>
      <c r="G4">
        <v>15</v>
      </c>
      <c r="H4" t="s">
        <v>19</v>
      </c>
      <c r="I4">
        <v>9</v>
      </c>
      <c r="J4" t="s">
        <v>20</v>
      </c>
    </row>
    <row r="5" spans="1:10" x14ac:dyDescent="0.3">
      <c r="A5">
        <v>4</v>
      </c>
      <c r="B5" t="s">
        <v>21</v>
      </c>
      <c r="C5" t="s">
        <v>11</v>
      </c>
      <c r="D5" t="s">
        <v>15</v>
      </c>
      <c r="E5">
        <v>1738070</v>
      </c>
      <c r="F5">
        <v>8.7999999999999995E-2</v>
      </c>
      <c r="G5">
        <v>30</v>
      </c>
      <c r="H5" t="s">
        <v>11</v>
      </c>
      <c r="I5">
        <v>1</v>
      </c>
      <c r="J5" t="s">
        <v>22</v>
      </c>
    </row>
    <row r="6" spans="1:10" x14ac:dyDescent="0.3">
      <c r="A6">
        <v>5</v>
      </c>
      <c r="B6" t="s">
        <v>23</v>
      </c>
      <c r="C6" t="s">
        <v>11</v>
      </c>
      <c r="D6" t="s">
        <v>24</v>
      </c>
      <c r="E6">
        <v>753151</v>
      </c>
      <c r="F6">
        <v>0.11899999999999999</v>
      </c>
      <c r="G6">
        <v>25</v>
      </c>
      <c r="H6" t="s">
        <v>11</v>
      </c>
      <c r="I6">
        <v>5</v>
      </c>
    </row>
    <row r="7" spans="1:10" x14ac:dyDescent="0.3">
      <c r="A7">
        <v>6</v>
      </c>
      <c r="B7" t="s">
        <v>25</v>
      </c>
      <c r="C7" t="s">
        <v>26</v>
      </c>
      <c r="D7" t="s">
        <v>15</v>
      </c>
      <c r="E7">
        <v>1688682</v>
      </c>
      <c r="F7">
        <v>0.10299999999999999</v>
      </c>
      <c r="G7">
        <v>15</v>
      </c>
      <c r="H7" t="s">
        <v>27</v>
      </c>
      <c r="I7">
        <v>11</v>
      </c>
    </row>
    <row r="8" spans="1:10" x14ac:dyDescent="0.3">
      <c r="A8">
        <v>7</v>
      </c>
      <c r="B8" t="s">
        <v>28</v>
      </c>
      <c r="C8" t="s">
        <v>11</v>
      </c>
      <c r="D8" t="s">
        <v>29</v>
      </c>
      <c r="E8">
        <v>1242578</v>
      </c>
      <c r="F8">
        <v>8.5000000000000006E-2</v>
      </c>
      <c r="G8">
        <v>15</v>
      </c>
      <c r="H8" t="s">
        <v>11</v>
      </c>
      <c r="I8">
        <v>3</v>
      </c>
      <c r="J8" t="s">
        <v>30</v>
      </c>
    </row>
    <row r="9" spans="1:10" x14ac:dyDescent="0.3">
      <c r="A9">
        <v>8</v>
      </c>
      <c r="B9" t="s">
        <v>31</v>
      </c>
      <c r="C9" t="s">
        <v>32</v>
      </c>
      <c r="D9" t="s">
        <v>33</v>
      </c>
      <c r="E9">
        <v>1593428</v>
      </c>
      <c r="F9">
        <v>0.09</v>
      </c>
      <c r="G9">
        <v>10</v>
      </c>
      <c r="H9" t="s">
        <v>11</v>
      </c>
      <c r="I9">
        <v>15</v>
      </c>
      <c r="J9" t="s">
        <v>34</v>
      </c>
    </row>
    <row r="10" spans="1:10" x14ac:dyDescent="0.3">
      <c r="A10">
        <v>9</v>
      </c>
      <c r="B10" t="s">
        <v>35</v>
      </c>
      <c r="C10" t="s">
        <v>36</v>
      </c>
      <c r="D10" t="s">
        <v>37</v>
      </c>
      <c r="E10">
        <v>820294</v>
      </c>
      <c r="F10">
        <v>0.10299999999999999</v>
      </c>
      <c r="G10">
        <v>15</v>
      </c>
      <c r="H10" t="s">
        <v>11</v>
      </c>
      <c r="I10">
        <v>15</v>
      </c>
      <c r="J10" t="s">
        <v>38</v>
      </c>
    </row>
    <row r="11" spans="1:10" x14ac:dyDescent="0.3">
      <c r="A11">
        <v>10</v>
      </c>
      <c r="B11" t="s">
        <v>39</v>
      </c>
      <c r="C11" t="s">
        <v>40</v>
      </c>
      <c r="D11" t="s">
        <v>41</v>
      </c>
      <c r="E11">
        <v>1350443</v>
      </c>
      <c r="F11">
        <v>0.105</v>
      </c>
      <c r="G11">
        <v>25</v>
      </c>
      <c r="H11" t="s">
        <v>11</v>
      </c>
      <c r="I11">
        <v>10</v>
      </c>
      <c r="J11" t="s">
        <v>42</v>
      </c>
    </row>
    <row r="12" spans="1:10" x14ac:dyDescent="0.3">
      <c r="A12">
        <v>11</v>
      </c>
      <c r="B12" t="s">
        <v>43</v>
      </c>
      <c r="C12" t="s">
        <v>11</v>
      </c>
      <c r="D12" t="s">
        <v>44</v>
      </c>
      <c r="E12">
        <v>1404845</v>
      </c>
      <c r="F12">
        <v>9.4E-2</v>
      </c>
      <c r="G12">
        <v>25</v>
      </c>
      <c r="H12" t="s">
        <v>11</v>
      </c>
      <c r="I12">
        <v>4</v>
      </c>
    </row>
    <row r="13" spans="1:10" x14ac:dyDescent="0.3">
      <c r="A13">
        <v>12</v>
      </c>
      <c r="B13" t="s">
        <v>45</v>
      </c>
      <c r="C13" t="s">
        <v>11</v>
      </c>
      <c r="D13" t="s">
        <v>46</v>
      </c>
      <c r="E13">
        <v>2297298</v>
      </c>
      <c r="F13">
        <v>0.112</v>
      </c>
      <c r="G13">
        <v>30</v>
      </c>
      <c r="H13" t="s">
        <v>11</v>
      </c>
      <c r="I13">
        <v>0</v>
      </c>
      <c r="J13" t="s">
        <v>47</v>
      </c>
    </row>
    <row r="14" spans="1:10" x14ac:dyDescent="0.3">
      <c r="A14">
        <v>13</v>
      </c>
      <c r="B14" t="s">
        <v>48</v>
      </c>
      <c r="C14" t="s">
        <v>11</v>
      </c>
      <c r="D14" t="s">
        <v>15</v>
      </c>
      <c r="E14">
        <v>658245</v>
      </c>
      <c r="F14">
        <v>9.2999999999999999E-2</v>
      </c>
      <c r="G14">
        <v>25</v>
      </c>
      <c r="H14" t="s">
        <v>49</v>
      </c>
      <c r="I14">
        <v>10</v>
      </c>
      <c r="J14" t="s">
        <v>50</v>
      </c>
    </row>
    <row r="15" spans="1:10" x14ac:dyDescent="0.3">
      <c r="A15">
        <v>14</v>
      </c>
      <c r="B15" t="s">
        <v>51</v>
      </c>
      <c r="C15" t="s">
        <v>11</v>
      </c>
      <c r="D15" t="s">
        <v>15</v>
      </c>
      <c r="E15">
        <v>794480</v>
      </c>
      <c r="F15">
        <v>0.106</v>
      </c>
      <c r="G15">
        <v>25</v>
      </c>
      <c r="H15" t="s">
        <v>52</v>
      </c>
      <c r="I15">
        <v>7</v>
      </c>
      <c r="J15" t="s">
        <v>53</v>
      </c>
    </row>
    <row r="16" spans="1:10" x14ac:dyDescent="0.3">
      <c r="A16">
        <v>15</v>
      </c>
      <c r="B16" t="s">
        <v>54</v>
      </c>
      <c r="C16" t="s">
        <v>11</v>
      </c>
      <c r="D16" t="s">
        <v>55</v>
      </c>
      <c r="E16">
        <v>1998848</v>
      </c>
      <c r="F16">
        <v>0.106</v>
      </c>
      <c r="G16">
        <v>20</v>
      </c>
      <c r="H16" t="s">
        <v>56</v>
      </c>
      <c r="I16">
        <v>15</v>
      </c>
      <c r="J16" t="s">
        <v>57</v>
      </c>
    </row>
    <row r="17" spans="1:10" x14ac:dyDescent="0.3">
      <c r="A17">
        <v>16</v>
      </c>
      <c r="B17" t="s">
        <v>58</v>
      </c>
      <c r="C17" t="s">
        <v>59</v>
      </c>
      <c r="D17" t="s">
        <v>60</v>
      </c>
      <c r="E17">
        <v>1478220</v>
      </c>
      <c r="F17">
        <v>8.3000000000000004E-2</v>
      </c>
      <c r="G17">
        <v>25</v>
      </c>
      <c r="H17" t="s">
        <v>61</v>
      </c>
      <c r="I17">
        <v>2</v>
      </c>
      <c r="J17" t="s">
        <v>62</v>
      </c>
    </row>
    <row r="18" spans="1:10" x14ac:dyDescent="0.3">
      <c r="A18">
        <v>17</v>
      </c>
      <c r="B18" t="s">
        <v>63</v>
      </c>
      <c r="C18" t="s">
        <v>59</v>
      </c>
      <c r="D18" t="s">
        <v>64</v>
      </c>
      <c r="E18">
        <v>2381636</v>
      </c>
      <c r="F18">
        <v>0.108</v>
      </c>
      <c r="G18">
        <v>20</v>
      </c>
      <c r="H18" t="s">
        <v>65</v>
      </c>
      <c r="I18">
        <v>11</v>
      </c>
      <c r="J18" t="s">
        <v>66</v>
      </c>
    </row>
    <row r="19" spans="1:10" x14ac:dyDescent="0.3">
      <c r="A19">
        <v>18</v>
      </c>
      <c r="B19" t="s">
        <v>67</v>
      </c>
      <c r="C19" t="s">
        <v>11</v>
      </c>
      <c r="D19" t="s">
        <v>68</v>
      </c>
      <c r="E19">
        <v>1441455</v>
      </c>
      <c r="F19">
        <v>9.7000000000000003E-2</v>
      </c>
      <c r="G19">
        <v>25</v>
      </c>
      <c r="H19" t="s">
        <v>11</v>
      </c>
      <c r="I19">
        <v>7</v>
      </c>
    </row>
    <row r="20" spans="1:10" x14ac:dyDescent="0.3">
      <c r="A20">
        <v>19</v>
      </c>
      <c r="B20" t="s">
        <v>69</v>
      </c>
      <c r="C20" t="s">
        <v>11</v>
      </c>
      <c r="D20" t="s">
        <v>70</v>
      </c>
      <c r="E20">
        <v>1601370</v>
      </c>
      <c r="F20">
        <v>8.2000000000000003E-2</v>
      </c>
      <c r="G20">
        <v>15</v>
      </c>
      <c r="H20" t="s">
        <v>11</v>
      </c>
      <c r="I20">
        <v>13</v>
      </c>
    </row>
    <row r="21" spans="1:10" x14ac:dyDescent="0.3">
      <c r="A21">
        <v>20</v>
      </c>
      <c r="B21" t="s">
        <v>71</v>
      </c>
      <c r="C21" t="s">
        <v>11</v>
      </c>
      <c r="D21" t="s">
        <v>15</v>
      </c>
      <c r="E21">
        <v>1850814</v>
      </c>
      <c r="F21">
        <v>0.105</v>
      </c>
      <c r="G21">
        <v>25</v>
      </c>
      <c r="H21" t="s">
        <v>11</v>
      </c>
      <c r="I21">
        <v>6</v>
      </c>
    </row>
    <row r="22" spans="1:10" x14ac:dyDescent="0.3">
      <c r="A22">
        <v>21</v>
      </c>
      <c r="B22" t="s">
        <v>72</v>
      </c>
      <c r="C22" t="s">
        <v>11</v>
      </c>
      <c r="D22" t="s">
        <v>15</v>
      </c>
      <c r="E22">
        <v>1683086</v>
      </c>
      <c r="F22">
        <v>0.08</v>
      </c>
      <c r="G22">
        <v>25</v>
      </c>
      <c r="H22" t="s">
        <v>11</v>
      </c>
      <c r="I22">
        <v>3</v>
      </c>
    </row>
    <row r="23" spans="1:10" x14ac:dyDescent="0.3">
      <c r="A23">
        <v>22</v>
      </c>
      <c r="B23" t="s">
        <v>73</v>
      </c>
      <c r="C23" t="s">
        <v>11</v>
      </c>
      <c r="D23" t="s">
        <v>15</v>
      </c>
      <c r="E23">
        <v>2136078</v>
      </c>
      <c r="F23">
        <v>0.113</v>
      </c>
      <c r="G23">
        <v>15</v>
      </c>
      <c r="H23" t="s">
        <v>74</v>
      </c>
      <c r="I23">
        <v>15</v>
      </c>
      <c r="J23" t="s">
        <v>75</v>
      </c>
    </row>
    <row r="24" spans="1:10" x14ac:dyDescent="0.3">
      <c r="A24">
        <v>23</v>
      </c>
      <c r="B24" t="s">
        <v>76</v>
      </c>
      <c r="C24" t="s">
        <v>11</v>
      </c>
      <c r="D24" t="s">
        <v>77</v>
      </c>
      <c r="E24">
        <v>953220</v>
      </c>
      <c r="F24">
        <v>0.112</v>
      </c>
      <c r="G24">
        <v>30</v>
      </c>
      <c r="H24" t="s">
        <v>78</v>
      </c>
      <c r="I24">
        <v>8</v>
      </c>
      <c r="J24" t="s">
        <v>79</v>
      </c>
    </row>
    <row r="25" spans="1:10" x14ac:dyDescent="0.3">
      <c r="A25">
        <v>24</v>
      </c>
      <c r="B25" t="s">
        <v>80</v>
      </c>
      <c r="C25" t="s">
        <v>11</v>
      </c>
      <c r="D25" t="s">
        <v>15</v>
      </c>
      <c r="E25">
        <v>2460921</v>
      </c>
      <c r="F25">
        <v>0.11600000000000001</v>
      </c>
      <c r="G25">
        <v>30</v>
      </c>
      <c r="H25" t="s">
        <v>81</v>
      </c>
      <c r="I25">
        <v>11</v>
      </c>
    </row>
    <row r="26" spans="1:10" x14ac:dyDescent="0.3">
      <c r="A26">
        <v>25</v>
      </c>
      <c r="B26" t="s">
        <v>82</v>
      </c>
      <c r="C26" t="s">
        <v>11</v>
      </c>
      <c r="D26" t="s">
        <v>83</v>
      </c>
      <c r="E26">
        <v>966502</v>
      </c>
      <c r="F26">
        <v>8.6999999999999994E-2</v>
      </c>
      <c r="G26">
        <v>15</v>
      </c>
      <c r="H26" t="s">
        <v>84</v>
      </c>
      <c r="I26">
        <v>6</v>
      </c>
    </row>
    <row r="27" spans="1:10" x14ac:dyDescent="0.3">
      <c r="A27">
        <v>26</v>
      </c>
      <c r="B27" t="s">
        <v>85</v>
      </c>
      <c r="C27" t="s">
        <v>11</v>
      </c>
      <c r="D27" t="s">
        <v>86</v>
      </c>
      <c r="E27">
        <v>2142189</v>
      </c>
      <c r="F27">
        <v>9.7000000000000003E-2</v>
      </c>
      <c r="G27">
        <v>30</v>
      </c>
      <c r="H27" t="s">
        <v>11</v>
      </c>
      <c r="I27">
        <v>2</v>
      </c>
    </row>
    <row r="28" spans="1:10" x14ac:dyDescent="0.3">
      <c r="A28">
        <v>27</v>
      </c>
      <c r="B28" t="s">
        <v>87</v>
      </c>
      <c r="C28" t="s">
        <v>88</v>
      </c>
      <c r="D28" t="s">
        <v>89</v>
      </c>
      <c r="E28">
        <v>1567759</v>
      </c>
      <c r="F28">
        <v>8.6999999999999994E-2</v>
      </c>
      <c r="G28">
        <v>10</v>
      </c>
      <c r="H28" t="s">
        <v>11</v>
      </c>
      <c r="I28">
        <v>15</v>
      </c>
      <c r="J28" t="s">
        <v>90</v>
      </c>
    </row>
    <row r="29" spans="1:10" x14ac:dyDescent="0.3">
      <c r="A29">
        <v>28</v>
      </c>
      <c r="B29" t="s">
        <v>91</v>
      </c>
      <c r="C29" t="s">
        <v>11</v>
      </c>
      <c r="D29" t="s">
        <v>92</v>
      </c>
      <c r="E29">
        <v>1266870</v>
      </c>
      <c r="F29">
        <v>8.1000000000000003E-2</v>
      </c>
      <c r="G29">
        <v>30</v>
      </c>
      <c r="H29" t="s">
        <v>11</v>
      </c>
      <c r="I29">
        <v>7</v>
      </c>
    </row>
    <row r="30" spans="1:10" x14ac:dyDescent="0.3">
      <c r="A30">
        <v>29</v>
      </c>
      <c r="B30" t="s">
        <v>93</v>
      </c>
      <c r="C30" t="s">
        <v>88</v>
      </c>
      <c r="D30" t="s">
        <v>94</v>
      </c>
      <c r="E30">
        <v>548354</v>
      </c>
      <c r="F30">
        <v>0.104</v>
      </c>
      <c r="G30">
        <v>25</v>
      </c>
      <c r="H30" t="s">
        <v>95</v>
      </c>
      <c r="I30">
        <v>13</v>
      </c>
      <c r="J30" t="s">
        <v>96</v>
      </c>
    </row>
    <row r="31" spans="1:10" x14ac:dyDescent="0.3">
      <c r="A31">
        <v>30</v>
      </c>
      <c r="B31" t="s">
        <v>97</v>
      </c>
      <c r="C31" t="s">
        <v>11</v>
      </c>
      <c r="D31" t="s">
        <v>98</v>
      </c>
      <c r="E31">
        <v>2121281</v>
      </c>
      <c r="F31">
        <v>0.10199999999999999</v>
      </c>
      <c r="G31">
        <v>25</v>
      </c>
      <c r="H31" t="s">
        <v>99</v>
      </c>
      <c r="I31">
        <v>11</v>
      </c>
    </row>
    <row r="32" spans="1:10" x14ac:dyDescent="0.3">
      <c r="A32">
        <v>31</v>
      </c>
      <c r="B32" t="s">
        <v>100</v>
      </c>
      <c r="C32" t="s">
        <v>11</v>
      </c>
      <c r="D32" t="s">
        <v>15</v>
      </c>
      <c r="E32">
        <v>2028569</v>
      </c>
      <c r="F32">
        <v>9.2999999999999999E-2</v>
      </c>
      <c r="G32">
        <v>10</v>
      </c>
      <c r="H32" t="s">
        <v>101</v>
      </c>
      <c r="I32">
        <v>3</v>
      </c>
    </row>
    <row r="33" spans="1:10" x14ac:dyDescent="0.3">
      <c r="A33">
        <v>32</v>
      </c>
      <c r="B33" t="s">
        <v>102</v>
      </c>
      <c r="C33" t="s">
        <v>11</v>
      </c>
      <c r="D33" t="s">
        <v>15</v>
      </c>
      <c r="E33">
        <v>1724304</v>
      </c>
      <c r="F33">
        <v>0.10100000000000001</v>
      </c>
      <c r="G33">
        <v>20</v>
      </c>
      <c r="H33" t="s">
        <v>11</v>
      </c>
      <c r="I33">
        <v>8</v>
      </c>
      <c r="J33" t="s">
        <v>103</v>
      </c>
    </row>
    <row r="34" spans="1:10" x14ac:dyDescent="0.3">
      <c r="A34">
        <v>33</v>
      </c>
      <c r="B34" t="s">
        <v>104</v>
      </c>
      <c r="C34" t="s">
        <v>11</v>
      </c>
      <c r="D34" t="s">
        <v>105</v>
      </c>
      <c r="E34">
        <v>1002007</v>
      </c>
      <c r="F34">
        <v>0.111</v>
      </c>
      <c r="G34">
        <v>15</v>
      </c>
      <c r="H34" t="s">
        <v>11</v>
      </c>
      <c r="I34">
        <v>2</v>
      </c>
    </row>
    <row r="35" spans="1:10" x14ac:dyDescent="0.3">
      <c r="A35">
        <v>34</v>
      </c>
      <c r="B35" t="s">
        <v>106</v>
      </c>
      <c r="C35" t="s">
        <v>11</v>
      </c>
      <c r="D35" t="s">
        <v>107</v>
      </c>
      <c r="E35">
        <v>802293</v>
      </c>
      <c r="F35">
        <v>9.0999999999999998E-2</v>
      </c>
      <c r="G35">
        <v>10</v>
      </c>
      <c r="H35" t="s">
        <v>108</v>
      </c>
      <c r="I35">
        <v>13</v>
      </c>
      <c r="J35" t="s">
        <v>109</v>
      </c>
    </row>
    <row r="36" spans="1:10" x14ac:dyDescent="0.3">
      <c r="A36">
        <v>35</v>
      </c>
      <c r="B36" t="s">
        <v>110</v>
      </c>
      <c r="C36" t="s">
        <v>11</v>
      </c>
      <c r="D36" t="s">
        <v>15</v>
      </c>
      <c r="E36">
        <v>518851</v>
      </c>
      <c r="F36">
        <v>9.0999999999999998E-2</v>
      </c>
      <c r="G36">
        <v>20</v>
      </c>
      <c r="H36" t="s">
        <v>11</v>
      </c>
      <c r="I36">
        <v>14</v>
      </c>
      <c r="J36" t="s">
        <v>111</v>
      </c>
    </row>
    <row r="37" spans="1:10" x14ac:dyDescent="0.3">
      <c r="A37">
        <v>36</v>
      </c>
      <c r="B37" t="s">
        <v>112</v>
      </c>
      <c r="C37" t="s">
        <v>11</v>
      </c>
      <c r="D37" t="s">
        <v>113</v>
      </c>
      <c r="E37">
        <v>2462260</v>
      </c>
      <c r="F37">
        <v>0.104</v>
      </c>
      <c r="G37">
        <v>15</v>
      </c>
      <c r="H37" t="s">
        <v>11</v>
      </c>
      <c r="I37">
        <v>10</v>
      </c>
    </row>
    <row r="38" spans="1:10" x14ac:dyDescent="0.3">
      <c r="A38">
        <v>37</v>
      </c>
      <c r="B38" t="s">
        <v>114</v>
      </c>
      <c r="C38" t="s">
        <v>11</v>
      </c>
      <c r="D38" t="s">
        <v>115</v>
      </c>
      <c r="E38">
        <v>2018083</v>
      </c>
      <c r="F38">
        <v>8.2000000000000003E-2</v>
      </c>
      <c r="G38">
        <v>30</v>
      </c>
      <c r="H38" t="s">
        <v>11</v>
      </c>
      <c r="I38">
        <v>12</v>
      </c>
      <c r="J38" t="s">
        <v>116</v>
      </c>
    </row>
    <row r="39" spans="1:10" x14ac:dyDescent="0.3">
      <c r="A39">
        <v>38</v>
      </c>
      <c r="B39" t="s">
        <v>117</v>
      </c>
      <c r="C39" t="s">
        <v>11</v>
      </c>
      <c r="D39" t="s">
        <v>15</v>
      </c>
      <c r="E39">
        <v>1789184</v>
      </c>
      <c r="F39">
        <v>0.114</v>
      </c>
      <c r="G39">
        <v>25</v>
      </c>
      <c r="H39" t="s">
        <v>11</v>
      </c>
      <c r="I39">
        <v>7</v>
      </c>
      <c r="J39" t="s">
        <v>118</v>
      </c>
    </row>
    <row r="40" spans="1:10" x14ac:dyDescent="0.3">
      <c r="A40">
        <v>39</v>
      </c>
      <c r="B40" t="s">
        <v>119</v>
      </c>
      <c r="C40" t="s">
        <v>120</v>
      </c>
      <c r="D40" t="s">
        <v>15</v>
      </c>
      <c r="E40">
        <v>1443572</v>
      </c>
      <c r="F40">
        <v>0.105</v>
      </c>
      <c r="G40">
        <v>10</v>
      </c>
      <c r="H40" t="s">
        <v>11</v>
      </c>
      <c r="I40">
        <v>5</v>
      </c>
    </row>
    <row r="41" spans="1:10" x14ac:dyDescent="0.3">
      <c r="A41">
        <v>40</v>
      </c>
      <c r="B41" t="s">
        <v>121</v>
      </c>
      <c r="C41" t="s">
        <v>11</v>
      </c>
      <c r="D41" t="s">
        <v>122</v>
      </c>
      <c r="E41">
        <v>2264948</v>
      </c>
      <c r="F41">
        <v>9.8000000000000004E-2</v>
      </c>
      <c r="G41">
        <v>15</v>
      </c>
      <c r="H41" t="s">
        <v>11</v>
      </c>
      <c r="I41">
        <v>15</v>
      </c>
    </row>
    <row r="42" spans="1:10" x14ac:dyDescent="0.3">
      <c r="A42">
        <v>41</v>
      </c>
      <c r="B42" t="s">
        <v>123</v>
      </c>
      <c r="C42" t="s">
        <v>11</v>
      </c>
      <c r="D42" t="s">
        <v>124</v>
      </c>
      <c r="E42">
        <v>2415301</v>
      </c>
      <c r="F42">
        <v>0.114</v>
      </c>
      <c r="G42">
        <v>20</v>
      </c>
      <c r="H42" t="s">
        <v>125</v>
      </c>
      <c r="I42">
        <v>12</v>
      </c>
    </row>
    <row r="43" spans="1:10" x14ac:dyDescent="0.3">
      <c r="A43">
        <v>42</v>
      </c>
      <c r="B43" t="s">
        <v>126</v>
      </c>
      <c r="C43" t="s">
        <v>11</v>
      </c>
      <c r="D43" t="s">
        <v>127</v>
      </c>
      <c r="E43">
        <v>1363959</v>
      </c>
      <c r="F43">
        <v>9.8000000000000004E-2</v>
      </c>
      <c r="G43">
        <v>30</v>
      </c>
      <c r="H43" t="s">
        <v>11</v>
      </c>
      <c r="I43">
        <v>4</v>
      </c>
    </row>
    <row r="44" spans="1:10" x14ac:dyDescent="0.3">
      <c r="A44">
        <v>43</v>
      </c>
      <c r="B44" t="s">
        <v>128</v>
      </c>
      <c r="C44" t="s">
        <v>11</v>
      </c>
      <c r="D44" t="s">
        <v>129</v>
      </c>
      <c r="E44">
        <v>1045403</v>
      </c>
      <c r="F44">
        <v>0.11799999999999999</v>
      </c>
      <c r="G44">
        <v>20</v>
      </c>
      <c r="H44" t="s">
        <v>11</v>
      </c>
      <c r="I44">
        <v>3</v>
      </c>
    </row>
    <row r="45" spans="1:10" x14ac:dyDescent="0.3">
      <c r="A45">
        <v>44</v>
      </c>
      <c r="B45" t="s">
        <v>130</v>
      </c>
      <c r="C45" t="s">
        <v>11</v>
      </c>
      <c r="D45" t="s">
        <v>131</v>
      </c>
      <c r="E45">
        <v>1544810</v>
      </c>
      <c r="F45">
        <v>0.106</v>
      </c>
      <c r="G45">
        <v>20</v>
      </c>
      <c r="H45" t="s">
        <v>11</v>
      </c>
      <c r="I45">
        <v>5</v>
      </c>
    </row>
    <row r="46" spans="1:10" x14ac:dyDescent="0.3">
      <c r="A46">
        <v>45</v>
      </c>
      <c r="B46" t="s">
        <v>132</v>
      </c>
      <c r="C46" t="s">
        <v>11</v>
      </c>
      <c r="D46" t="s">
        <v>133</v>
      </c>
      <c r="E46">
        <v>1255875</v>
      </c>
      <c r="F46">
        <v>0.112</v>
      </c>
      <c r="G46">
        <v>10</v>
      </c>
      <c r="H46" t="s">
        <v>11</v>
      </c>
      <c r="I46">
        <v>10</v>
      </c>
      <c r="J46" t="s">
        <v>134</v>
      </c>
    </row>
    <row r="47" spans="1:10" x14ac:dyDescent="0.3">
      <c r="A47">
        <v>46</v>
      </c>
      <c r="B47" t="s">
        <v>135</v>
      </c>
      <c r="C47" t="s">
        <v>11</v>
      </c>
      <c r="D47" t="s">
        <v>15</v>
      </c>
      <c r="E47">
        <v>1633009</v>
      </c>
      <c r="F47">
        <v>8.6999999999999994E-2</v>
      </c>
      <c r="G47">
        <v>20</v>
      </c>
      <c r="H47" t="s">
        <v>11</v>
      </c>
      <c r="I47">
        <v>6</v>
      </c>
      <c r="J47" t="s">
        <v>136</v>
      </c>
    </row>
    <row r="48" spans="1:10" x14ac:dyDescent="0.3">
      <c r="A48">
        <v>47</v>
      </c>
      <c r="B48" t="s">
        <v>137</v>
      </c>
      <c r="C48" t="s">
        <v>11</v>
      </c>
      <c r="D48" t="s">
        <v>138</v>
      </c>
      <c r="E48">
        <v>1691084</v>
      </c>
      <c r="F48">
        <v>0.105</v>
      </c>
      <c r="G48">
        <v>20</v>
      </c>
      <c r="H48" t="s">
        <v>139</v>
      </c>
      <c r="I48">
        <v>4</v>
      </c>
    </row>
    <row r="49" spans="1:10" x14ac:dyDescent="0.3">
      <c r="A49">
        <v>48</v>
      </c>
      <c r="B49" t="s">
        <v>140</v>
      </c>
      <c r="C49" t="s">
        <v>141</v>
      </c>
      <c r="D49" t="s">
        <v>142</v>
      </c>
      <c r="E49">
        <v>2139945</v>
      </c>
      <c r="F49">
        <v>0.113</v>
      </c>
      <c r="G49">
        <v>20</v>
      </c>
      <c r="H49" t="s">
        <v>143</v>
      </c>
      <c r="I49">
        <v>6</v>
      </c>
      <c r="J49" t="s">
        <v>144</v>
      </c>
    </row>
    <row r="50" spans="1:10" x14ac:dyDescent="0.3">
      <c r="A50">
        <v>49</v>
      </c>
      <c r="B50" t="s">
        <v>145</v>
      </c>
      <c r="C50" t="s">
        <v>11</v>
      </c>
      <c r="D50" t="s">
        <v>15</v>
      </c>
      <c r="E50">
        <v>716975</v>
      </c>
      <c r="F50">
        <v>8.3000000000000004E-2</v>
      </c>
      <c r="G50">
        <v>30</v>
      </c>
      <c r="H50" t="s">
        <v>11</v>
      </c>
      <c r="I50">
        <v>3</v>
      </c>
      <c r="J50" t="s">
        <v>146</v>
      </c>
    </row>
    <row r="51" spans="1:10" x14ac:dyDescent="0.3">
      <c r="A51">
        <v>50</v>
      </c>
      <c r="B51" t="s">
        <v>147</v>
      </c>
      <c r="C51" t="s">
        <v>11</v>
      </c>
      <c r="D51" t="s">
        <v>15</v>
      </c>
      <c r="E51">
        <v>844956</v>
      </c>
      <c r="F51">
        <v>0.114</v>
      </c>
      <c r="G51">
        <v>20</v>
      </c>
      <c r="H51" t="s">
        <v>11</v>
      </c>
      <c r="I51">
        <v>5</v>
      </c>
      <c r="J51" t="s">
        <v>148</v>
      </c>
    </row>
    <row r="52" spans="1:10" x14ac:dyDescent="0.3">
      <c r="A52">
        <v>51</v>
      </c>
      <c r="B52" t="s">
        <v>149</v>
      </c>
      <c r="C52" t="s">
        <v>11</v>
      </c>
      <c r="D52" t="s">
        <v>150</v>
      </c>
      <c r="E52">
        <v>1505074</v>
      </c>
      <c r="F52">
        <v>0.114</v>
      </c>
      <c r="G52">
        <v>20</v>
      </c>
      <c r="H52" t="s">
        <v>11</v>
      </c>
      <c r="I52">
        <v>5</v>
      </c>
    </row>
    <row r="53" spans="1:10" x14ac:dyDescent="0.3">
      <c r="A53">
        <v>52</v>
      </c>
      <c r="B53" t="s">
        <v>151</v>
      </c>
      <c r="C53" t="s">
        <v>88</v>
      </c>
      <c r="D53" t="s">
        <v>152</v>
      </c>
      <c r="E53">
        <v>2134312</v>
      </c>
      <c r="F53">
        <v>8.2000000000000003E-2</v>
      </c>
      <c r="G53">
        <v>25</v>
      </c>
      <c r="H53" t="s">
        <v>11</v>
      </c>
      <c r="I53">
        <v>8</v>
      </c>
    </row>
    <row r="54" spans="1:10" x14ac:dyDescent="0.3">
      <c r="A54">
        <v>53</v>
      </c>
      <c r="B54" t="s">
        <v>153</v>
      </c>
      <c r="C54" t="s">
        <v>11</v>
      </c>
      <c r="D54" t="s">
        <v>154</v>
      </c>
      <c r="E54">
        <v>788089</v>
      </c>
      <c r="F54">
        <v>8.7999999999999995E-2</v>
      </c>
      <c r="G54">
        <v>25</v>
      </c>
      <c r="H54" t="s">
        <v>11</v>
      </c>
      <c r="I54">
        <v>2</v>
      </c>
    </row>
    <row r="55" spans="1:10" x14ac:dyDescent="0.3">
      <c r="A55">
        <v>54</v>
      </c>
      <c r="B55" t="s">
        <v>155</v>
      </c>
      <c r="C55" t="s">
        <v>156</v>
      </c>
      <c r="D55" t="s">
        <v>15</v>
      </c>
      <c r="E55">
        <v>680087</v>
      </c>
      <c r="F55">
        <v>9.9000000000000005E-2</v>
      </c>
      <c r="G55">
        <v>25</v>
      </c>
      <c r="H55" t="s">
        <v>11</v>
      </c>
      <c r="I55">
        <v>7</v>
      </c>
    </row>
    <row r="56" spans="1:10" x14ac:dyDescent="0.3">
      <c r="A56">
        <v>55</v>
      </c>
      <c r="B56" t="s">
        <v>157</v>
      </c>
      <c r="C56" t="s">
        <v>158</v>
      </c>
      <c r="D56" t="s">
        <v>15</v>
      </c>
      <c r="E56">
        <v>1077707</v>
      </c>
      <c r="F56">
        <v>9.9000000000000005E-2</v>
      </c>
      <c r="G56">
        <v>25</v>
      </c>
      <c r="H56" t="s">
        <v>11</v>
      </c>
      <c r="I56">
        <v>2</v>
      </c>
    </row>
    <row r="57" spans="1:10" x14ac:dyDescent="0.3">
      <c r="A57">
        <v>56</v>
      </c>
      <c r="B57" t="s">
        <v>159</v>
      </c>
      <c r="C57" t="s">
        <v>160</v>
      </c>
      <c r="D57" t="s">
        <v>161</v>
      </c>
      <c r="E57">
        <v>1838488</v>
      </c>
      <c r="F57">
        <v>0.11</v>
      </c>
      <c r="G57">
        <v>15</v>
      </c>
      <c r="H57" t="s">
        <v>11</v>
      </c>
      <c r="I57">
        <v>10</v>
      </c>
      <c r="J57" t="s">
        <v>162</v>
      </c>
    </row>
    <row r="58" spans="1:10" x14ac:dyDescent="0.3">
      <c r="A58">
        <v>57</v>
      </c>
      <c r="B58" t="s">
        <v>163</v>
      </c>
      <c r="C58" t="s">
        <v>164</v>
      </c>
      <c r="D58" t="s">
        <v>165</v>
      </c>
      <c r="E58">
        <v>981630</v>
      </c>
      <c r="F58">
        <v>8.4000000000000005E-2</v>
      </c>
      <c r="G58">
        <v>10</v>
      </c>
      <c r="H58" t="s">
        <v>11</v>
      </c>
      <c r="I58">
        <v>8</v>
      </c>
      <c r="J58" t="s">
        <v>166</v>
      </c>
    </row>
    <row r="59" spans="1:10" x14ac:dyDescent="0.3">
      <c r="A59">
        <v>58</v>
      </c>
      <c r="B59" t="s">
        <v>167</v>
      </c>
      <c r="C59" t="s">
        <v>11</v>
      </c>
      <c r="D59" t="s">
        <v>168</v>
      </c>
      <c r="E59">
        <v>1942229</v>
      </c>
      <c r="F59">
        <v>9.1999999999999998E-2</v>
      </c>
      <c r="G59">
        <v>15</v>
      </c>
      <c r="H59" t="s">
        <v>11</v>
      </c>
      <c r="I59">
        <v>13</v>
      </c>
    </row>
    <row r="60" spans="1:10" x14ac:dyDescent="0.3">
      <c r="A60">
        <v>59</v>
      </c>
      <c r="B60" t="s">
        <v>169</v>
      </c>
      <c r="C60" t="s">
        <v>11</v>
      </c>
      <c r="D60" t="s">
        <v>170</v>
      </c>
      <c r="E60">
        <v>1817556</v>
      </c>
      <c r="F60">
        <v>0.112</v>
      </c>
      <c r="G60">
        <v>10</v>
      </c>
      <c r="H60" t="s">
        <v>11</v>
      </c>
      <c r="I60">
        <v>11</v>
      </c>
    </row>
    <row r="61" spans="1:10" x14ac:dyDescent="0.3">
      <c r="A61">
        <v>60</v>
      </c>
      <c r="B61" t="s">
        <v>171</v>
      </c>
      <c r="C61" t="s">
        <v>11</v>
      </c>
      <c r="D61" t="s">
        <v>15</v>
      </c>
      <c r="E61">
        <v>769207</v>
      </c>
      <c r="F61">
        <v>0.11700000000000001</v>
      </c>
      <c r="G61">
        <v>30</v>
      </c>
      <c r="H61" t="s">
        <v>11</v>
      </c>
      <c r="I61">
        <v>6</v>
      </c>
    </row>
    <row r="62" spans="1:10" x14ac:dyDescent="0.3">
      <c r="A62">
        <v>61</v>
      </c>
      <c r="B62" t="s">
        <v>172</v>
      </c>
      <c r="C62" t="s">
        <v>11</v>
      </c>
      <c r="D62" t="s">
        <v>173</v>
      </c>
      <c r="E62">
        <v>1195398</v>
      </c>
      <c r="F62">
        <v>8.6999999999999994E-2</v>
      </c>
      <c r="G62">
        <v>25</v>
      </c>
      <c r="H62" t="s">
        <v>11</v>
      </c>
      <c r="I62">
        <v>1</v>
      </c>
    </row>
    <row r="63" spans="1:10" x14ac:dyDescent="0.3">
      <c r="A63">
        <v>62</v>
      </c>
      <c r="B63" t="s">
        <v>174</v>
      </c>
      <c r="C63" t="s">
        <v>11</v>
      </c>
      <c r="D63" t="s">
        <v>175</v>
      </c>
      <c r="E63">
        <v>1594738</v>
      </c>
      <c r="F63">
        <v>9.2999999999999999E-2</v>
      </c>
      <c r="G63">
        <v>15</v>
      </c>
      <c r="H63" t="s">
        <v>11</v>
      </c>
      <c r="I63">
        <v>10</v>
      </c>
      <c r="J63" t="s">
        <v>176</v>
      </c>
    </row>
    <row r="64" spans="1:10" x14ac:dyDescent="0.3">
      <c r="A64">
        <v>63</v>
      </c>
      <c r="B64" t="s">
        <v>177</v>
      </c>
      <c r="C64" t="s">
        <v>11</v>
      </c>
      <c r="D64" t="s">
        <v>15</v>
      </c>
      <c r="E64">
        <v>948824</v>
      </c>
      <c r="F64">
        <v>0.11899999999999999</v>
      </c>
      <c r="G64">
        <v>10</v>
      </c>
      <c r="H64" t="s">
        <v>11</v>
      </c>
      <c r="I64">
        <v>0</v>
      </c>
    </row>
    <row r="65" spans="1:10" x14ac:dyDescent="0.3">
      <c r="A65">
        <v>64</v>
      </c>
      <c r="B65" t="s">
        <v>178</v>
      </c>
      <c r="C65" t="s">
        <v>11</v>
      </c>
      <c r="D65" t="s">
        <v>179</v>
      </c>
      <c r="E65">
        <v>2271903</v>
      </c>
      <c r="F65">
        <v>0.12</v>
      </c>
      <c r="G65">
        <v>30</v>
      </c>
      <c r="H65" t="s">
        <v>11</v>
      </c>
      <c r="I65">
        <v>13</v>
      </c>
      <c r="J65" t="s">
        <v>180</v>
      </c>
    </row>
    <row r="66" spans="1:10" x14ac:dyDescent="0.3">
      <c r="A66">
        <v>65</v>
      </c>
      <c r="B66" t="s">
        <v>181</v>
      </c>
      <c r="C66" t="s">
        <v>11</v>
      </c>
      <c r="D66" t="s">
        <v>182</v>
      </c>
      <c r="E66">
        <v>1357861</v>
      </c>
      <c r="F66">
        <v>0.10100000000000001</v>
      </c>
      <c r="G66">
        <v>10</v>
      </c>
      <c r="H66" t="s">
        <v>11</v>
      </c>
      <c r="I66">
        <v>4</v>
      </c>
      <c r="J66" t="s">
        <v>183</v>
      </c>
    </row>
    <row r="67" spans="1:10" x14ac:dyDescent="0.3">
      <c r="A67">
        <v>66</v>
      </c>
      <c r="B67" t="s">
        <v>184</v>
      </c>
      <c r="C67" t="s">
        <v>11</v>
      </c>
      <c r="D67" t="s">
        <v>185</v>
      </c>
      <c r="E67">
        <v>1084091</v>
      </c>
      <c r="F67">
        <v>8.1000000000000003E-2</v>
      </c>
      <c r="G67">
        <v>10</v>
      </c>
      <c r="H67" t="s">
        <v>11</v>
      </c>
      <c r="I67">
        <v>1</v>
      </c>
      <c r="J67" t="s">
        <v>186</v>
      </c>
    </row>
    <row r="68" spans="1:10" x14ac:dyDescent="0.3">
      <c r="A68">
        <v>67</v>
      </c>
      <c r="B68" t="s">
        <v>187</v>
      </c>
      <c r="C68" t="s">
        <v>11</v>
      </c>
      <c r="D68" t="s">
        <v>188</v>
      </c>
      <c r="E68">
        <v>2406093</v>
      </c>
      <c r="F68">
        <v>0.11600000000000001</v>
      </c>
      <c r="G68">
        <v>15</v>
      </c>
      <c r="H68" t="s">
        <v>189</v>
      </c>
      <c r="I68">
        <v>11</v>
      </c>
      <c r="J68" t="s">
        <v>190</v>
      </c>
    </row>
    <row r="69" spans="1:10" x14ac:dyDescent="0.3">
      <c r="A69">
        <v>68</v>
      </c>
      <c r="B69" t="s">
        <v>191</v>
      </c>
      <c r="C69" t="s">
        <v>11</v>
      </c>
      <c r="D69" t="s">
        <v>192</v>
      </c>
      <c r="E69">
        <v>793145</v>
      </c>
      <c r="F69">
        <v>0.113</v>
      </c>
      <c r="G69">
        <v>25</v>
      </c>
      <c r="H69" t="s">
        <v>11</v>
      </c>
      <c r="I69">
        <v>15</v>
      </c>
      <c r="J69" t="s">
        <v>193</v>
      </c>
    </row>
    <row r="70" spans="1:10" x14ac:dyDescent="0.3">
      <c r="A70">
        <v>69</v>
      </c>
      <c r="B70" t="s">
        <v>194</v>
      </c>
      <c r="C70" t="s">
        <v>11</v>
      </c>
      <c r="D70" t="s">
        <v>195</v>
      </c>
      <c r="E70">
        <v>934651</v>
      </c>
      <c r="F70">
        <v>9.8000000000000004E-2</v>
      </c>
      <c r="G70">
        <v>30</v>
      </c>
      <c r="H70" t="s">
        <v>11</v>
      </c>
      <c r="I70">
        <v>11</v>
      </c>
    </row>
    <row r="71" spans="1:10" x14ac:dyDescent="0.3">
      <c r="A71">
        <v>70</v>
      </c>
      <c r="B71" t="s">
        <v>196</v>
      </c>
      <c r="C71" t="s">
        <v>11</v>
      </c>
      <c r="D71" t="s">
        <v>197</v>
      </c>
      <c r="E71">
        <v>1271820</v>
      </c>
      <c r="F71">
        <v>0.108</v>
      </c>
      <c r="G71">
        <v>15</v>
      </c>
      <c r="H71" t="s">
        <v>11</v>
      </c>
      <c r="I71">
        <v>4</v>
      </c>
    </row>
    <row r="72" spans="1:10" x14ac:dyDescent="0.3">
      <c r="A72">
        <v>71</v>
      </c>
      <c r="B72" t="s">
        <v>198</v>
      </c>
      <c r="C72" t="s">
        <v>11</v>
      </c>
      <c r="D72" t="s">
        <v>199</v>
      </c>
      <c r="E72">
        <v>833547</v>
      </c>
      <c r="F72">
        <v>9.2999999999999999E-2</v>
      </c>
      <c r="G72">
        <v>15</v>
      </c>
      <c r="H72" t="s">
        <v>11</v>
      </c>
      <c r="I72">
        <v>13</v>
      </c>
      <c r="J72" t="s">
        <v>200</v>
      </c>
    </row>
    <row r="73" spans="1:10" x14ac:dyDescent="0.3">
      <c r="A73">
        <v>72</v>
      </c>
      <c r="B73" t="s">
        <v>201</v>
      </c>
      <c r="C73" t="s">
        <v>202</v>
      </c>
      <c r="D73" t="s">
        <v>203</v>
      </c>
      <c r="E73">
        <v>778304</v>
      </c>
      <c r="F73">
        <v>9.9000000000000005E-2</v>
      </c>
      <c r="G73">
        <v>10</v>
      </c>
      <c r="H73" t="s">
        <v>204</v>
      </c>
      <c r="I73">
        <v>14</v>
      </c>
      <c r="J73" t="s">
        <v>205</v>
      </c>
    </row>
    <row r="74" spans="1:10" x14ac:dyDescent="0.3">
      <c r="A74">
        <v>73</v>
      </c>
      <c r="B74" t="s">
        <v>206</v>
      </c>
      <c r="C74" t="s">
        <v>120</v>
      </c>
      <c r="D74" t="s">
        <v>207</v>
      </c>
      <c r="E74">
        <v>514771</v>
      </c>
      <c r="F74">
        <v>9.8000000000000004E-2</v>
      </c>
      <c r="G74">
        <v>30</v>
      </c>
      <c r="H74" t="s">
        <v>11</v>
      </c>
      <c r="I74">
        <v>10</v>
      </c>
    </row>
    <row r="75" spans="1:10" x14ac:dyDescent="0.3">
      <c r="A75">
        <v>74</v>
      </c>
      <c r="B75" t="s">
        <v>208</v>
      </c>
      <c r="C75" t="s">
        <v>209</v>
      </c>
      <c r="D75" t="s">
        <v>210</v>
      </c>
      <c r="E75">
        <v>695953</v>
      </c>
      <c r="F75">
        <v>9.7000000000000003E-2</v>
      </c>
      <c r="G75">
        <v>10</v>
      </c>
      <c r="H75" t="s">
        <v>11</v>
      </c>
      <c r="I75">
        <v>14</v>
      </c>
      <c r="J75" t="s">
        <v>211</v>
      </c>
    </row>
    <row r="76" spans="1:10" x14ac:dyDescent="0.3">
      <c r="A76">
        <v>75</v>
      </c>
      <c r="B76" t="s">
        <v>212</v>
      </c>
      <c r="C76" t="s">
        <v>11</v>
      </c>
      <c r="D76" t="s">
        <v>15</v>
      </c>
      <c r="E76">
        <v>1215286</v>
      </c>
      <c r="F76">
        <v>9.1999999999999998E-2</v>
      </c>
      <c r="G76">
        <v>30</v>
      </c>
      <c r="H76" t="s">
        <v>11</v>
      </c>
      <c r="I76">
        <v>3</v>
      </c>
      <c r="J76" t="s">
        <v>213</v>
      </c>
    </row>
    <row r="77" spans="1:10" x14ac:dyDescent="0.3">
      <c r="A77">
        <v>76</v>
      </c>
      <c r="B77" t="s">
        <v>214</v>
      </c>
      <c r="C77" t="s">
        <v>215</v>
      </c>
      <c r="D77" t="s">
        <v>15</v>
      </c>
      <c r="E77">
        <v>974831</v>
      </c>
      <c r="F77">
        <v>9.5000000000000001E-2</v>
      </c>
      <c r="G77">
        <v>25</v>
      </c>
      <c r="H77" t="s">
        <v>11</v>
      </c>
      <c r="I77">
        <v>4</v>
      </c>
    </row>
    <row r="78" spans="1:10" x14ac:dyDescent="0.3">
      <c r="A78">
        <v>77</v>
      </c>
      <c r="B78" t="s">
        <v>216</v>
      </c>
      <c r="C78" t="s">
        <v>217</v>
      </c>
      <c r="D78" t="s">
        <v>15</v>
      </c>
      <c r="E78">
        <v>1833176</v>
      </c>
      <c r="F78">
        <v>0.11700000000000001</v>
      </c>
      <c r="G78">
        <v>15</v>
      </c>
      <c r="H78" t="s">
        <v>218</v>
      </c>
      <c r="I78">
        <v>5</v>
      </c>
    </row>
    <row r="79" spans="1:10" x14ac:dyDescent="0.3">
      <c r="A79">
        <v>78</v>
      </c>
      <c r="B79" t="s">
        <v>219</v>
      </c>
      <c r="C79" t="s">
        <v>11</v>
      </c>
      <c r="D79" t="s">
        <v>220</v>
      </c>
      <c r="E79">
        <v>1394406</v>
      </c>
      <c r="F79">
        <v>8.3000000000000004E-2</v>
      </c>
      <c r="G79">
        <v>20</v>
      </c>
      <c r="H79" t="s">
        <v>11</v>
      </c>
      <c r="I79">
        <v>8</v>
      </c>
    </row>
    <row r="80" spans="1:10" x14ac:dyDescent="0.3">
      <c r="A80">
        <v>79</v>
      </c>
      <c r="B80" t="s">
        <v>221</v>
      </c>
      <c r="C80" t="s">
        <v>11</v>
      </c>
      <c r="D80" t="s">
        <v>222</v>
      </c>
      <c r="E80">
        <v>1652588</v>
      </c>
      <c r="F80">
        <v>8.3000000000000004E-2</v>
      </c>
      <c r="G80">
        <v>15</v>
      </c>
      <c r="H80" t="s">
        <v>11</v>
      </c>
      <c r="I80">
        <v>1</v>
      </c>
    </row>
    <row r="81" spans="1:10" x14ac:dyDescent="0.3">
      <c r="A81">
        <v>80</v>
      </c>
      <c r="B81" t="s">
        <v>223</v>
      </c>
      <c r="C81" t="s">
        <v>11</v>
      </c>
      <c r="D81" t="s">
        <v>224</v>
      </c>
      <c r="E81">
        <v>1894998</v>
      </c>
      <c r="F81">
        <v>9.6000000000000002E-2</v>
      </c>
      <c r="G81">
        <v>25</v>
      </c>
      <c r="H81" t="s">
        <v>11</v>
      </c>
      <c r="I81">
        <v>14</v>
      </c>
    </row>
    <row r="82" spans="1:10" x14ac:dyDescent="0.3">
      <c r="A82">
        <v>81</v>
      </c>
      <c r="B82" t="s">
        <v>225</v>
      </c>
      <c r="C82" t="s">
        <v>11</v>
      </c>
      <c r="D82" t="s">
        <v>226</v>
      </c>
      <c r="E82">
        <v>1308618</v>
      </c>
      <c r="F82">
        <v>8.7999999999999995E-2</v>
      </c>
      <c r="G82">
        <v>20</v>
      </c>
      <c r="H82" t="s">
        <v>11</v>
      </c>
      <c r="I82">
        <v>9</v>
      </c>
    </row>
    <row r="83" spans="1:10" x14ac:dyDescent="0.3">
      <c r="A83">
        <v>82</v>
      </c>
      <c r="B83" t="s">
        <v>227</v>
      </c>
      <c r="C83" t="s">
        <v>59</v>
      </c>
      <c r="D83" t="s">
        <v>228</v>
      </c>
      <c r="E83">
        <v>2383165</v>
      </c>
      <c r="F83">
        <v>8.5999999999999993E-2</v>
      </c>
      <c r="G83">
        <v>20</v>
      </c>
      <c r="H83" t="s">
        <v>229</v>
      </c>
      <c r="I83">
        <v>11</v>
      </c>
    </row>
    <row r="84" spans="1:10" x14ac:dyDescent="0.3">
      <c r="A84">
        <v>83</v>
      </c>
      <c r="B84" t="s">
        <v>230</v>
      </c>
      <c r="C84" t="s">
        <v>11</v>
      </c>
      <c r="D84" t="s">
        <v>231</v>
      </c>
      <c r="E84">
        <v>940236</v>
      </c>
      <c r="F84">
        <v>8.3000000000000004E-2</v>
      </c>
      <c r="G84">
        <v>25</v>
      </c>
      <c r="H84" t="s">
        <v>11</v>
      </c>
      <c r="I84">
        <v>14</v>
      </c>
      <c r="J84" t="s">
        <v>232</v>
      </c>
    </row>
    <row r="85" spans="1:10" x14ac:dyDescent="0.3">
      <c r="A85">
        <v>84</v>
      </c>
      <c r="B85" t="s">
        <v>233</v>
      </c>
      <c r="C85" t="s">
        <v>32</v>
      </c>
      <c r="D85" t="s">
        <v>234</v>
      </c>
      <c r="E85">
        <v>876592</v>
      </c>
      <c r="F85">
        <v>8.5999999999999993E-2</v>
      </c>
      <c r="G85">
        <v>30</v>
      </c>
      <c r="H85" t="s">
        <v>235</v>
      </c>
      <c r="I85">
        <v>7</v>
      </c>
    </row>
    <row r="86" spans="1:10" x14ac:dyDescent="0.3">
      <c r="A86">
        <v>85</v>
      </c>
      <c r="B86" t="s">
        <v>236</v>
      </c>
      <c r="C86" t="s">
        <v>237</v>
      </c>
      <c r="D86" t="s">
        <v>15</v>
      </c>
      <c r="E86">
        <v>1389133</v>
      </c>
      <c r="F86">
        <v>9.8000000000000004E-2</v>
      </c>
      <c r="G86">
        <v>20</v>
      </c>
      <c r="H86" t="s">
        <v>238</v>
      </c>
      <c r="I86">
        <v>0</v>
      </c>
      <c r="J86" t="s">
        <v>239</v>
      </c>
    </row>
    <row r="87" spans="1:10" x14ac:dyDescent="0.3">
      <c r="A87">
        <v>86</v>
      </c>
      <c r="B87" t="s">
        <v>240</v>
      </c>
      <c r="C87" t="s">
        <v>88</v>
      </c>
      <c r="D87" t="s">
        <v>241</v>
      </c>
      <c r="E87">
        <v>1414494</v>
      </c>
      <c r="F87">
        <v>9.7000000000000003E-2</v>
      </c>
      <c r="G87">
        <v>15</v>
      </c>
      <c r="H87" t="s">
        <v>242</v>
      </c>
      <c r="I87">
        <v>4</v>
      </c>
    </row>
    <row r="88" spans="1:10" x14ac:dyDescent="0.3">
      <c r="A88">
        <v>87</v>
      </c>
      <c r="B88" t="s">
        <v>243</v>
      </c>
      <c r="C88" t="s">
        <v>11</v>
      </c>
      <c r="D88" t="s">
        <v>244</v>
      </c>
      <c r="E88">
        <v>1703151</v>
      </c>
      <c r="F88">
        <v>9.4E-2</v>
      </c>
      <c r="G88">
        <v>20</v>
      </c>
      <c r="H88" t="s">
        <v>11</v>
      </c>
      <c r="I88">
        <v>8</v>
      </c>
      <c r="J88" t="s">
        <v>245</v>
      </c>
    </row>
    <row r="89" spans="1:10" x14ac:dyDescent="0.3">
      <c r="A89">
        <v>88</v>
      </c>
      <c r="B89" t="s">
        <v>246</v>
      </c>
      <c r="C89" t="s">
        <v>11</v>
      </c>
      <c r="D89" t="s">
        <v>247</v>
      </c>
      <c r="E89">
        <v>1062304</v>
      </c>
      <c r="F89">
        <v>0.109</v>
      </c>
      <c r="G89">
        <v>25</v>
      </c>
      <c r="H89" t="s">
        <v>11</v>
      </c>
      <c r="I89">
        <v>7</v>
      </c>
      <c r="J89" t="s">
        <v>248</v>
      </c>
    </row>
    <row r="90" spans="1:10" x14ac:dyDescent="0.3">
      <c r="A90">
        <v>89</v>
      </c>
      <c r="B90" t="s">
        <v>249</v>
      </c>
      <c r="C90" t="s">
        <v>11</v>
      </c>
      <c r="D90" t="s">
        <v>15</v>
      </c>
      <c r="E90">
        <v>2343933</v>
      </c>
      <c r="F90">
        <v>8.3000000000000004E-2</v>
      </c>
      <c r="G90">
        <v>20</v>
      </c>
      <c r="H90" t="s">
        <v>11</v>
      </c>
      <c r="I90">
        <v>5</v>
      </c>
      <c r="J90" t="s">
        <v>250</v>
      </c>
    </row>
    <row r="91" spans="1:10" x14ac:dyDescent="0.3">
      <c r="A91">
        <v>90</v>
      </c>
      <c r="B91" t="s">
        <v>251</v>
      </c>
      <c r="C91" t="s">
        <v>59</v>
      </c>
      <c r="D91" t="s">
        <v>252</v>
      </c>
      <c r="E91">
        <v>661968</v>
      </c>
      <c r="F91">
        <v>0.11899999999999999</v>
      </c>
      <c r="G91">
        <v>20</v>
      </c>
      <c r="H91" t="s">
        <v>253</v>
      </c>
      <c r="I91">
        <v>13</v>
      </c>
    </row>
    <row r="92" spans="1:10" x14ac:dyDescent="0.3">
      <c r="A92">
        <v>91</v>
      </c>
      <c r="B92" t="s">
        <v>254</v>
      </c>
      <c r="C92" t="s">
        <v>11</v>
      </c>
      <c r="D92" t="s">
        <v>15</v>
      </c>
      <c r="E92">
        <v>1025549</v>
      </c>
      <c r="F92">
        <v>0.112</v>
      </c>
      <c r="G92">
        <v>25</v>
      </c>
      <c r="H92" t="s">
        <v>11</v>
      </c>
      <c r="I92">
        <v>0</v>
      </c>
      <c r="J92" t="s">
        <v>255</v>
      </c>
    </row>
    <row r="93" spans="1:10" x14ac:dyDescent="0.3">
      <c r="A93">
        <v>92</v>
      </c>
      <c r="B93" t="s">
        <v>256</v>
      </c>
      <c r="C93" t="s">
        <v>11</v>
      </c>
      <c r="D93" t="s">
        <v>257</v>
      </c>
      <c r="E93">
        <v>709468</v>
      </c>
      <c r="F93">
        <v>0.11799999999999999</v>
      </c>
      <c r="G93">
        <v>10</v>
      </c>
      <c r="H93" t="s">
        <v>11</v>
      </c>
      <c r="I93">
        <v>13</v>
      </c>
    </row>
    <row r="94" spans="1:10" x14ac:dyDescent="0.3">
      <c r="A94">
        <v>93</v>
      </c>
      <c r="B94" t="s">
        <v>258</v>
      </c>
      <c r="C94" t="s">
        <v>11</v>
      </c>
      <c r="D94" t="s">
        <v>259</v>
      </c>
      <c r="E94">
        <v>715492</v>
      </c>
      <c r="F94">
        <v>8.8999999999999996E-2</v>
      </c>
      <c r="G94">
        <v>15</v>
      </c>
      <c r="H94" t="s">
        <v>11</v>
      </c>
      <c r="I94">
        <v>11</v>
      </c>
      <c r="J94" t="s">
        <v>260</v>
      </c>
    </row>
    <row r="95" spans="1:10" x14ac:dyDescent="0.3">
      <c r="A95">
        <v>94</v>
      </c>
      <c r="B95" t="s">
        <v>261</v>
      </c>
      <c r="C95" t="s">
        <v>262</v>
      </c>
      <c r="D95" t="s">
        <v>263</v>
      </c>
      <c r="E95">
        <v>688298</v>
      </c>
      <c r="F95">
        <v>0.108</v>
      </c>
      <c r="G95">
        <v>20</v>
      </c>
      <c r="H95" t="s">
        <v>11</v>
      </c>
      <c r="I95">
        <v>8</v>
      </c>
    </row>
    <row r="96" spans="1:10" x14ac:dyDescent="0.3">
      <c r="A96">
        <v>95</v>
      </c>
      <c r="B96" t="s">
        <v>264</v>
      </c>
      <c r="C96" t="s">
        <v>265</v>
      </c>
      <c r="D96" t="s">
        <v>266</v>
      </c>
      <c r="E96">
        <v>955505</v>
      </c>
      <c r="F96">
        <v>0.106</v>
      </c>
      <c r="G96">
        <v>10</v>
      </c>
      <c r="H96" t="s">
        <v>267</v>
      </c>
      <c r="I96">
        <v>5</v>
      </c>
    </row>
    <row r="97" spans="1:10" x14ac:dyDescent="0.3">
      <c r="A97">
        <v>96</v>
      </c>
      <c r="B97" t="s">
        <v>268</v>
      </c>
      <c r="C97" t="s">
        <v>11</v>
      </c>
      <c r="D97" t="s">
        <v>269</v>
      </c>
      <c r="E97">
        <v>1205882</v>
      </c>
      <c r="F97">
        <v>8.4000000000000005E-2</v>
      </c>
      <c r="G97">
        <v>30</v>
      </c>
      <c r="H97" t="s">
        <v>11</v>
      </c>
      <c r="I97">
        <v>5</v>
      </c>
      <c r="J97" t="s">
        <v>270</v>
      </c>
    </row>
    <row r="98" spans="1:10" x14ac:dyDescent="0.3">
      <c r="A98">
        <v>97</v>
      </c>
      <c r="B98" t="s">
        <v>271</v>
      </c>
      <c r="C98" t="s">
        <v>202</v>
      </c>
      <c r="D98" t="s">
        <v>272</v>
      </c>
      <c r="E98">
        <v>2478899</v>
      </c>
      <c r="F98">
        <v>8.2000000000000003E-2</v>
      </c>
      <c r="G98">
        <v>20</v>
      </c>
      <c r="H98" t="s">
        <v>11</v>
      </c>
      <c r="I98">
        <v>15</v>
      </c>
      <c r="J98" t="s">
        <v>273</v>
      </c>
    </row>
    <row r="99" spans="1:10" x14ac:dyDescent="0.3">
      <c r="A99">
        <v>98</v>
      </c>
      <c r="B99" t="s">
        <v>274</v>
      </c>
      <c r="C99" t="s">
        <v>11</v>
      </c>
      <c r="D99" t="s">
        <v>15</v>
      </c>
      <c r="E99">
        <v>1818565</v>
      </c>
      <c r="F99">
        <v>9.4E-2</v>
      </c>
      <c r="G99">
        <v>15</v>
      </c>
      <c r="H99" t="s">
        <v>275</v>
      </c>
      <c r="I99">
        <v>15</v>
      </c>
      <c r="J99" t="s">
        <v>276</v>
      </c>
    </row>
    <row r="100" spans="1:10" x14ac:dyDescent="0.3">
      <c r="A100">
        <v>99</v>
      </c>
      <c r="B100" t="s">
        <v>277</v>
      </c>
      <c r="C100" t="s">
        <v>11</v>
      </c>
      <c r="D100" t="s">
        <v>278</v>
      </c>
      <c r="E100">
        <v>853648</v>
      </c>
      <c r="F100">
        <v>0.10299999999999999</v>
      </c>
      <c r="G100">
        <v>25</v>
      </c>
      <c r="H100" t="s">
        <v>11</v>
      </c>
      <c r="I100">
        <v>9</v>
      </c>
      <c r="J100" t="s">
        <v>279</v>
      </c>
    </row>
    <row r="101" spans="1:10" x14ac:dyDescent="0.3">
      <c r="A101">
        <v>100</v>
      </c>
      <c r="B101" t="s">
        <v>280</v>
      </c>
      <c r="C101" t="s">
        <v>11</v>
      </c>
      <c r="D101" t="s">
        <v>15</v>
      </c>
      <c r="E101">
        <v>1147661</v>
      </c>
      <c r="F101">
        <v>0.113</v>
      </c>
      <c r="G101">
        <v>10</v>
      </c>
      <c r="H101" t="s">
        <v>11</v>
      </c>
      <c r="I101">
        <v>1</v>
      </c>
      <c r="J101" t="s">
        <v>281</v>
      </c>
    </row>
    <row r="102" spans="1:10" x14ac:dyDescent="0.3">
      <c r="A102">
        <v>101</v>
      </c>
      <c r="B102" t="s">
        <v>282</v>
      </c>
      <c r="C102" t="s">
        <v>158</v>
      </c>
      <c r="D102" t="s">
        <v>15</v>
      </c>
      <c r="E102">
        <v>1461907</v>
      </c>
      <c r="F102">
        <v>9.5000000000000001E-2</v>
      </c>
      <c r="G102">
        <v>10</v>
      </c>
      <c r="H102" t="s">
        <v>11</v>
      </c>
      <c r="I102">
        <v>14</v>
      </c>
    </row>
    <row r="103" spans="1:10" x14ac:dyDescent="0.3">
      <c r="A103">
        <v>102</v>
      </c>
      <c r="B103" t="s">
        <v>283</v>
      </c>
      <c r="C103" t="s">
        <v>11</v>
      </c>
      <c r="D103" t="s">
        <v>284</v>
      </c>
      <c r="E103">
        <v>925187</v>
      </c>
      <c r="F103">
        <v>8.5999999999999993E-2</v>
      </c>
      <c r="G103">
        <v>25</v>
      </c>
      <c r="H103" t="s">
        <v>285</v>
      </c>
      <c r="I103">
        <v>12</v>
      </c>
    </row>
    <row r="104" spans="1:10" x14ac:dyDescent="0.3">
      <c r="A104">
        <v>103</v>
      </c>
      <c r="B104" t="s">
        <v>286</v>
      </c>
      <c r="C104" t="s">
        <v>11</v>
      </c>
      <c r="D104" t="s">
        <v>287</v>
      </c>
      <c r="E104">
        <v>2098828</v>
      </c>
      <c r="F104">
        <v>0.115</v>
      </c>
      <c r="G104">
        <v>30</v>
      </c>
      <c r="H104" t="s">
        <v>285</v>
      </c>
      <c r="I104">
        <v>6</v>
      </c>
      <c r="J104" t="s">
        <v>288</v>
      </c>
    </row>
    <row r="105" spans="1:10" x14ac:dyDescent="0.3">
      <c r="A105">
        <v>104</v>
      </c>
      <c r="B105" t="s">
        <v>289</v>
      </c>
      <c r="C105" t="s">
        <v>11</v>
      </c>
      <c r="D105" t="s">
        <v>290</v>
      </c>
      <c r="E105">
        <v>765385</v>
      </c>
      <c r="F105">
        <v>9.2999999999999999E-2</v>
      </c>
      <c r="G105">
        <v>30</v>
      </c>
      <c r="H105" t="s">
        <v>11</v>
      </c>
      <c r="I105">
        <v>0</v>
      </c>
    </row>
    <row r="106" spans="1:10" x14ac:dyDescent="0.3">
      <c r="A106">
        <v>105</v>
      </c>
      <c r="B106" t="s">
        <v>291</v>
      </c>
      <c r="C106" t="s">
        <v>292</v>
      </c>
      <c r="D106" t="s">
        <v>293</v>
      </c>
      <c r="E106">
        <v>2421319</v>
      </c>
      <c r="F106">
        <v>9.2999999999999999E-2</v>
      </c>
      <c r="G106">
        <v>10</v>
      </c>
      <c r="H106" t="s">
        <v>11</v>
      </c>
      <c r="I106">
        <v>7</v>
      </c>
    </row>
    <row r="107" spans="1:10" x14ac:dyDescent="0.3">
      <c r="A107">
        <v>106</v>
      </c>
      <c r="B107" t="s">
        <v>294</v>
      </c>
      <c r="C107" t="s">
        <v>237</v>
      </c>
      <c r="D107" t="s">
        <v>295</v>
      </c>
      <c r="E107">
        <v>526979</v>
      </c>
      <c r="F107">
        <v>0.115</v>
      </c>
      <c r="G107">
        <v>15</v>
      </c>
      <c r="H107" t="s">
        <v>296</v>
      </c>
      <c r="I107">
        <v>5</v>
      </c>
      <c r="J107" t="s">
        <v>297</v>
      </c>
    </row>
    <row r="108" spans="1:10" x14ac:dyDescent="0.3">
      <c r="A108">
        <v>107</v>
      </c>
      <c r="B108" t="s">
        <v>298</v>
      </c>
      <c r="C108" t="s">
        <v>11</v>
      </c>
      <c r="D108" t="s">
        <v>15</v>
      </c>
      <c r="E108">
        <v>1724951</v>
      </c>
      <c r="F108">
        <v>0.107</v>
      </c>
      <c r="G108">
        <v>30</v>
      </c>
      <c r="H108" t="s">
        <v>299</v>
      </c>
      <c r="I108">
        <v>11</v>
      </c>
      <c r="J108" t="s">
        <v>300</v>
      </c>
    </row>
    <row r="109" spans="1:10" x14ac:dyDescent="0.3">
      <c r="A109">
        <v>108</v>
      </c>
      <c r="B109" t="s">
        <v>301</v>
      </c>
      <c r="C109" t="s">
        <v>11</v>
      </c>
      <c r="D109" t="s">
        <v>302</v>
      </c>
      <c r="E109">
        <v>1379750</v>
      </c>
      <c r="F109">
        <v>0.104</v>
      </c>
      <c r="G109">
        <v>30</v>
      </c>
      <c r="H109" t="s">
        <v>11</v>
      </c>
      <c r="I109">
        <v>8</v>
      </c>
    </row>
    <row r="110" spans="1:10" x14ac:dyDescent="0.3">
      <c r="A110">
        <v>109</v>
      </c>
      <c r="B110" t="s">
        <v>303</v>
      </c>
      <c r="C110" t="s">
        <v>11</v>
      </c>
      <c r="D110" t="s">
        <v>304</v>
      </c>
      <c r="E110">
        <v>776730</v>
      </c>
      <c r="F110">
        <v>0.11600000000000001</v>
      </c>
      <c r="G110">
        <v>20</v>
      </c>
      <c r="H110" t="s">
        <v>305</v>
      </c>
      <c r="I110">
        <v>0</v>
      </c>
      <c r="J110" t="s">
        <v>306</v>
      </c>
    </row>
    <row r="111" spans="1:10" x14ac:dyDescent="0.3">
      <c r="A111">
        <v>110</v>
      </c>
      <c r="B111" t="s">
        <v>307</v>
      </c>
      <c r="C111" t="s">
        <v>11</v>
      </c>
      <c r="D111" t="s">
        <v>15</v>
      </c>
      <c r="E111">
        <v>2071862</v>
      </c>
      <c r="F111">
        <v>0.11</v>
      </c>
      <c r="G111">
        <v>25</v>
      </c>
      <c r="H111" t="s">
        <v>11</v>
      </c>
      <c r="I111">
        <v>9</v>
      </c>
      <c r="J111" t="s">
        <v>308</v>
      </c>
    </row>
    <row r="112" spans="1:10" x14ac:dyDescent="0.3">
      <c r="A112">
        <v>111</v>
      </c>
      <c r="B112" t="s">
        <v>309</v>
      </c>
      <c r="C112" t="s">
        <v>11</v>
      </c>
      <c r="D112" t="s">
        <v>15</v>
      </c>
      <c r="E112">
        <v>2221746</v>
      </c>
      <c r="F112">
        <v>0.111</v>
      </c>
      <c r="G112">
        <v>25</v>
      </c>
      <c r="H112" t="s">
        <v>310</v>
      </c>
      <c r="I112">
        <v>14</v>
      </c>
      <c r="J112" t="s">
        <v>311</v>
      </c>
    </row>
    <row r="113" spans="1:10" x14ac:dyDescent="0.3">
      <c r="A113">
        <v>112</v>
      </c>
      <c r="B113" t="s">
        <v>312</v>
      </c>
      <c r="C113" t="s">
        <v>11</v>
      </c>
      <c r="D113" t="s">
        <v>313</v>
      </c>
      <c r="E113">
        <v>1384481</v>
      </c>
      <c r="F113">
        <v>8.5999999999999993E-2</v>
      </c>
      <c r="G113">
        <v>15</v>
      </c>
      <c r="H113" t="s">
        <v>11</v>
      </c>
      <c r="I113">
        <v>14</v>
      </c>
    </row>
    <row r="114" spans="1:10" x14ac:dyDescent="0.3">
      <c r="A114">
        <v>113</v>
      </c>
      <c r="B114" t="s">
        <v>314</v>
      </c>
      <c r="C114" t="s">
        <v>11</v>
      </c>
      <c r="D114" t="s">
        <v>15</v>
      </c>
      <c r="E114">
        <v>564762</v>
      </c>
      <c r="F114">
        <v>0.11600000000000001</v>
      </c>
      <c r="G114">
        <v>10</v>
      </c>
      <c r="H114" t="s">
        <v>11</v>
      </c>
      <c r="I114">
        <v>0</v>
      </c>
      <c r="J114" t="s">
        <v>315</v>
      </c>
    </row>
    <row r="115" spans="1:10" x14ac:dyDescent="0.3">
      <c r="A115">
        <v>114</v>
      </c>
      <c r="B115" t="s">
        <v>316</v>
      </c>
      <c r="C115" t="s">
        <v>11</v>
      </c>
      <c r="D115" t="s">
        <v>15</v>
      </c>
      <c r="E115">
        <v>1838661</v>
      </c>
      <c r="F115">
        <v>9.1999999999999998E-2</v>
      </c>
      <c r="G115">
        <v>20</v>
      </c>
      <c r="H115" t="s">
        <v>11</v>
      </c>
      <c r="I115">
        <v>10</v>
      </c>
      <c r="J115" t="s">
        <v>317</v>
      </c>
    </row>
    <row r="116" spans="1:10" x14ac:dyDescent="0.3">
      <c r="A116">
        <v>115</v>
      </c>
      <c r="B116" t="s">
        <v>318</v>
      </c>
      <c r="C116" t="s">
        <v>11</v>
      </c>
      <c r="D116" t="s">
        <v>319</v>
      </c>
      <c r="E116">
        <v>2013778</v>
      </c>
      <c r="F116">
        <v>8.7999999999999995E-2</v>
      </c>
      <c r="G116">
        <v>10</v>
      </c>
      <c r="H116" t="s">
        <v>11</v>
      </c>
      <c r="I116">
        <v>12</v>
      </c>
      <c r="J116" t="s">
        <v>320</v>
      </c>
    </row>
    <row r="117" spans="1:10" x14ac:dyDescent="0.3">
      <c r="A117">
        <v>116</v>
      </c>
      <c r="B117" t="s">
        <v>321</v>
      </c>
      <c r="C117" t="s">
        <v>262</v>
      </c>
      <c r="D117" t="s">
        <v>15</v>
      </c>
      <c r="E117">
        <v>1690052</v>
      </c>
      <c r="F117">
        <v>0.11</v>
      </c>
      <c r="G117">
        <v>20</v>
      </c>
      <c r="H117" t="s">
        <v>322</v>
      </c>
      <c r="I117">
        <v>0</v>
      </c>
      <c r="J117" t="s">
        <v>323</v>
      </c>
    </row>
    <row r="118" spans="1:10" x14ac:dyDescent="0.3">
      <c r="A118">
        <v>117</v>
      </c>
      <c r="B118" t="s">
        <v>324</v>
      </c>
      <c r="C118" t="s">
        <v>11</v>
      </c>
      <c r="D118" t="s">
        <v>325</v>
      </c>
      <c r="E118">
        <v>745340</v>
      </c>
      <c r="F118">
        <v>0.104</v>
      </c>
      <c r="G118">
        <v>10</v>
      </c>
      <c r="H118" t="s">
        <v>11</v>
      </c>
      <c r="I118">
        <v>2</v>
      </c>
      <c r="J118" t="s">
        <v>326</v>
      </c>
    </row>
    <row r="119" spans="1:10" x14ac:dyDescent="0.3">
      <c r="A119">
        <v>118</v>
      </c>
      <c r="B119" t="s">
        <v>327</v>
      </c>
      <c r="C119" t="s">
        <v>11</v>
      </c>
      <c r="D119" t="s">
        <v>328</v>
      </c>
      <c r="E119">
        <v>2162603</v>
      </c>
      <c r="F119">
        <v>0.115</v>
      </c>
      <c r="G119">
        <v>20</v>
      </c>
      <c r="H119" t="s">
        <v>11</v>
      </c>
      <c r="I119">
        <v>7</v>
      </c>
    </row>
    <row r="120" spans="1:10" x14ac:dyDescent="0.3">
      <c r="A120">
        <v>119</v>
      </c>
      <c r="B120" t="s">
        <v>329</v>
      </c>
      <c r="C120" t="s">
        <v>330</v>
      </c>
      <c r="D120" t="s">
        <v>331</v>
      </c>
      <c r="E120">
        <v>811712</v>
      </c>
      <c r="F120">
        <v>0.10199999999999999</v>
      </c>
      <c r="G120">
        <v>25</v>
      </c>
      <c r="H120" t="s">
        <v>332</v>
      </c>
      <c r="I120">
        <v>12</v>
      </c>
      <c r="J120" t="s">
        <v>333</v>
      </c>
    </row>
    <row r="121" spans="1:10" x14ac:dyDescent="0.3">
      <c r="A121">
        <v>120</v>
      </c>
      <c r="B121" t="s">
        <v>334</v>
      </c>
      <c r="C121" t="s">
        <v>11</v>
      </c>
      <c r="D121" t="s">
        <v>335</v>
      </c>
      <c r="E121">
        <v>570621</v>
      </c>
      <c r="F121">
        <v>0.11700000000000001</v>
      </c>
      <c r="G121">
        <v>15</v>
      </c>
      <c r="H121" t="s">
        <v>11</v>
      </c>
      <c r="I121">
        <v>15</v>
      </c>
    </row>
    <row r="122" spans="1:10" x14ac:dyDescent="0.3">
      <c r="A122">
        <v>121</v>
      </c>
      <c r="B122" t="s">
        <v>336</v>
      </c>
      <c r="C122" t="s">
        <v>11</v>
      </c>
      <c r="D122" t="s">
        <v>337</v>
      </c>
      <c r="E122">
        <v>975238</v>
      </c>
      <c r="F122">
        <v>9.1999999999999998E-2</v>
      </c>
      <c r="G122">
        <v>15</v>
      </c>
      <c r="H122" t="s">
        <v>11</v>
      </c>
      <c r="I122">
        <v>12</v>
      </c>
      <c r="J122" t="s">
        <v>338</v>
      </c>
    </row>
    <row r="123" spans="1:10" x14ac:dyDescent="0.3">
      <c r="A123">
        <v>122</v>
      </c>
      <c r="B123" t="s">
        <v>339</v>
      </c>
      <c r="C123" t="s">
        <v>40</v>
      </c>
      <c r="D123" t="s">
        <v>340</v>
      </c>
      <c r="E123">
        <v>2007184</v>
      </c>
      <c r="F123">
        <v>8.7999999999999995E-2</v>
      </c>
      <c r="G123">
        <v>10</v>
      </c>
      <c r="H123" t="s">
        <v>11</v>
      </c>
      <c r="I123">
        <v>10</v>
      </c>
    </row>
    <row r="124" spans="1:10" x14ac:dyDescent="0.3">
      <c r="A124">
        <v>123</v>
      </c>
      <c r="B124" t="s">
        <v>341</v>
      </c>
      <c r="C124" t="s">
        <v>11</v>
      </c>
      <c r="D124" t="s">
        <v>342</v>
      </c>
      <c r="E124">
        <v>1687683</v>
      </c>
      <c r="F124">
        <v>9.0999999999999998E-2</v>
      </c>
      <c r="G124">
        <v>30</v>
      </c>
      <c r="H124" t="s">
        <v>343</v>
      </c>
      <c r="I124">
        <v>3</v>
      </c>
    </row>
    <row r="125" spans="1:10" x14ac:dyDescent="0.3">
      <c r="A125">
        <v>124</v>
      </c>
      <c r="B125" t="s">
        <v>344</v>
      </c>
      <c r="C125" t="s">
        <v>156</v>
      </c>
      <c r="D125" t="s">
        <v>15</v>
      </c>
      <c r="E125">
        <v>2395849</v>
      </c>
      <c r="F125">
        <v>8.8999999999999996E-2</v>
      </c>
      <c r="G125">
        <v>30</v>
      </c>
      <c r="H125" t="s">
        <v>11</v>
      </c>
      <c r="I125">
        <v>11</v>
      </c>
    </row>
    <row r="126" spans="1:10" x14ac:dyDescent="0.3">
      <c r="A126">
        <v>125</v>
      </c>
      <c r="B126" t="s">
        <v>345</v>
      </c>
      <c r="C126" t="s">
        <v>11</v>
      </c>
      <c r="D126" t="s">
        <v>346</v>
      </c>
      <c r="E126">
        <v>1555348</v>
      </c>
      <c r="F126">
        <v>0.10100000000000001</v>
      </c>
      <c r="G126">
        <v>15</v>
      </c>
      <c r="H126" t="s">
        <v>11</v>
      </c>
      <c r="I126">
        <v>1</v>
      </c>
    </row>
    <row r="127" spans="1:10" x14ac:dyDescent="0.3">
      <c r="A127">
        <v>126</v>
      </c>
      <c r="B127" t="s">
        <v>347</v>
      </c>
      <c r="C127" t="s">
        <v>11</v>
      </c>
      <c r="D127" t="s">
        <v>348</v>
      </c>
      <c r="E127">
        <v>2447540</v>
      </c>
      <c r="F127">
        <v>0.108</v>
      </c>
      <c r="G127">
        <v>10</v>
      </c>
      <c r="H127" t="s">
        <v>349</v>
      </c>
      <c r="I127">
        <v>0</v>
      </c>
    </row>
    <row r="128" spans="1:10" x14ac:dyDescent="0.3">
      <c r="A128">
        <v>127</v>
      </c>
      <c r="B128" t="s">
        <v>350</v>
      </c>
      <c r="C128" t="s">
        <v>11</v>
      </c>
      <c r="D128" t="s">
        <v>15</v>
      </c>
      <c r="E128">
        <v>1115736</v>
      </c>
      <c r="F128">
        <v>9.7000000000000003E-2</v>
      </c>
      <c r="G128">
        <v>10</v>
      </c>
      <c r="H128" t="s">
        <v>11</v>
      </c>
      <c r="I128">
        <v>4</v>
      </c>
      <c r="J128" t="s">
        <v>351</v>
      </c>
    </row>
    <row r="129" spans="1:10" x14ac:dyDescent="0.3">
      <c r="A129">
        <v>128</v>
      </c>
      <c r="B129" t="s">
        <v>352</v>
      </c>
      <c r="C129" t="s">
        <v>11</v>
      </c>
      <c r="D129" t="s">
        <v>353</v>
      </c>
      <c r="E129">
        <v>1407604</v>
      </c>
      <c r="F129">
        <v>0.112</v>
      </c>
      <c r="G129">
        <v>25</v>
      </c>
      <c r="H129" t="s">
        <v>11</v>
      </c>
      <c r="I129">
        <v>6</v>
      </c>
      <c r="J129" t="s">
        <v>354</v>
      </c>
    </row>
    <row r="130" spans="1:10" x14ac:dyDescent="0.3">
      <c r="A130">
        <v>129</v>
      </c>
      <c r="B130" t="s">
        <v>355</v>
      </c>
      <c r="C130" t="s">
        <v>40</v>
      </c>
      <c r="D130" t="s">
        <v>356</v>
      </c>
      <c r="E130">
        <v>2054937</v>
      </c>
      <c r="F130">
        <v>9.4E-2</v>
      </c>
      <c r="G130">
        <v>30</v>
      </c>
      <c r="H130" t="s">
        <v>11</v>
      </c>
      <c r="I130">
        <v>10</v>
      </c>
      <c r="J130" t="s">
        <v>357</v>
      </c>
    </row>
    <row r="131" spans="1:10" x14ac:dyDescent="0.3">
      <c r="A131">
        <v>130</v>
      </c>
      <c r="B131" t="s">
        <v>358</v>
      </c>
      <c r="C131" t="s">
        <v>11</v>
      </c>
      <c r="D131" t="s">
        <v>359</v>
      </c>
      <c r="E131">
        <v>1587813</v>
      </c>
      <c r="F131">
        <v>9.4E-2</v>
      </c>
      <c r="G131">
        <v>10</v>
      </c>
      <c r="H131" t="s">
        <v>11</v>
      </c>
      <c r="I131">
        <v>7</v>
      </c>
      <c r="J131" t="s">
        <v>360</v>
      </c>
    </row>
    <row r="132" spans="1:10" x14ac:dyDescent="0.3">
      <c r="A132">
        <v>131</v>
      </c>
      <c r="B132" t="s">
        <v>361</v>
      </c>
      <c r="C132" t="s">
        <v>11</v>
      </c>
      <c r="D132" t="s">
        <v>15</v>
      </c>
      <c r="E132">
        <v>2120072</v>
      </c>
      <c r="F132">
        <v>0.109</v>
      </c>
      <c r="G132">
        <v>25</v>
      </c>
      <c r="H132" t="s">
        <v>11</v>
      </c>
      <c r="I132">
        <v>10</v>
      </c>
    </row>
    <row r="133" spans="1:10" x14ac:dyDescent="0.3">
      <c r="A133">
        <v>132</v>
      </c>
      <c r="B133" t="s">
        <v>362</v>
      </c>
      <c r="C133" t="s">
        <v>141</v>
      </c>
      <c r="D133" t="s">
        <v>363</v>
      </c>
      <c r="E133">
        <v>1447594</v>
      </c>
      <c r="F133">
        <v>8.1000000000000003E-2</v>
      </c>
      <c r="G133">
        <v>30</v>
      </c>
      <c r="H133" t="s">
        <v>364</v>
      </c>
      <c r="I133">
        <v>7</v>
      </c>
      <c r="J133" t="s">
        <v>365</v>
      </c>
    </row>
    <row r="134" spans="1:10" x14ac:dyDescent="0.3">
      <c r="A134">
        <v>133</v>
      </c>
      <c r="B134" t="s">
        <v>366</v>
      </c>
      <c r="C134" t="s">
        <v>367</v>
      </c>
      <c r="D134" t="s">
        <v>368</v>
      </c>
      <c r="E134">
        <v>1378390</v>
      </c>
      <c r="F134">
        <v>0.104</v>
      </c>
      <c r="G134">
        <v>20</v>
      </c>
      <c r="H134" t="s">
        <v>11</v>
      </c>
      <c r="I134">
        <v>6</v>
      </c>
      <c r="J134" t="s">
        <v>369</v>
      </c>
    </row>
    <row r="135" spans="1:10" x14ac:dyDescent="0.3">
      <c r="A135">
        <v>134</v>
      </c>
      <c r="B135" t="s">
        <v>370</v>
      </c>
      <c r="C135" t="s">
        <v>371</v>
      </c>
      <c r="D135" t="s">
        <v>15</v>
      </c>
      <c r="E135">
        <v>1900583</v>
      </c>
      <c r="F135">
        <v>9.4E-2</v>
      </c>
      <c r="G135">
        <v>15</v>
      </c>
      <c r="H135" t="s">
        <v>11</v>
      </c>
      <c r="I135">
        <v>11</v>
      </c>
      <c r="J135" t="s">
        <v>372</v>
      </c>
    </row>
    <row r="136" spans="1:10" x14ac:dyDescent="0.3">
      <c r="A136">
        <v>135</v>
      </c>
      <c r="B136" t="s">
        <v>373</v>
      </c>
      <c r="C136" t="s">
        <v>11</v>
      </c>
      <c r="D136" t="s">
        <v>374</v>
      </c>
      <c r="E136">
        <v>1307225</v>
      </c>
      <c r="F136">
        <v>0.1</v>
      </c>
      <c r="G136">
        <v>25</v>
      </c>
      <c r="H136" t="s">
        <v>11</v>
      </c>
      <c r="I136">
        <v>13</v>
      </c>
    </row>
    <row r="137" spans="1:10" x14ac:dyDescent="0.3">
      <c r="A137">
        <v>136</v>
      </c>
      <c r="B137" t="s">
        <v>375</v>
      </c>
      <c r="C137" t="s">
        <v>209</v>
      </c>
      <c r="D137" t="s">
        <v>376</v>
      </c>
      <c r="E137">
        <v>1526153</v>
      </c>
      <c r="F137">
        <v>9.0999999999999998E-2</v>
      </c>
      <c r="G137">
        <v>25</v>
      </c>
      <c r="H137" t="s">
        <v>11</v>
      </c>
      <c r="I137">
        <v>9</v>
      </c>
    </row>
    <row r="138" spans="1:10" x14ac:dyDescent="0.3">
      <c r="A138">
        <v>137</v>
      </c>
      <c r="B138" t="s">
        <v>377</v>
      </c>
      <c r="C138" t="s">
        <v>158</v>
      </c>
      <c r="D138" t="s">
        <v>378</v>
      </c>
      <c r="E138">
        <v>2468618</v>
      </c>
      <c r="F138">
        <v>9.7000000000000003E-2</v>
      </c>
      <c r="G138">
        <v>25</v>
      </c>
      <c r="H138" t="s">
        <v>11</v>
      </c>
      <c r="I138">
        <v>0</v>
      </c>
      <c r="J138" t="s">
        <v>379</v>
      </c>
    </row>
    <row r="139" spans="1:10" x14ac:dyDescent="0.3">
      <c r="A139">
        <v>138</v>
      </c>
      <c r="B139" t="s">
        <v>380</v>
      </c>
      <c r="C139" t="s">
        <v>141</v>
      </c>
      <c r="D139" t="s">
        <v>381</v>
      </c>
      <c r="E139">
        <v>942239</v>
      </c>
      <c r="F139">
        <v>0.11600000000000001</v>
      </c>
      <c r="G139">
        <v>20</v>
      </c>
      <c r="H139" t="s">
        <v>11</v>
      </c>
      <c r="I139">
        <v>10</v>
      </c>
      <c r="J139" t="s">
        <v>382</v>
      </c>
    </row>
    <row r="140" spans="1:10" x14ac:dyDescent="0.3">
      <c r="A140">
        <v>139</v>
      </c>
      <c r="B140" t="s">
        <v>383</v>
      </c>
      <c r="C140" t="s">
        <v>11</v>
      </c>
      <c r="D140" t="s">
        <v>15</v>
      </c>
      <c r="E140">
        <v>2356713</v>
      </c>
      <c r="F140">
        <v>0.10100000000000001</v>
      </c>
      <c r="G140">
        <v>10</v>
      </c>
      <c r="H140" t="s">
        <v>11</v>
      </c>
      <c r="I140">
        <v>9</v>
      </c>
    </row>
    <row r="141" spans="1:10" x14ac:dyDescent="0.3">
      <c r="A141">
        <v>140</v>
      </c>
      <c r="B141" t="s">
        <v>384</v>
      </c>
      <c r="C141" t="s">
        <v>385</v>
      </c>
      <c r="D141" t="s">
        <v>386</v>
      </c>
      <c r="E141">
        <v>1346453</v>
      </c>
      <c r="F141">
        <v>8.4000000000000005E-2</v>
      </c>
      <c r="G141">
        <v>10</v>
      </c>
      <c r="H141" t="s">
        <v>11</v>
      </c>
      <c r="I141">
        <v>1</v>
      </c>
    </row>
    <row r="142" spans="1:10" x14ac:dyDescent="0.3">
      <c r="A142">
        <v>141</v>
      </c>
      <c r="B142" t="s">
        <v>387</v>
      </c>
      <c r="C142" t="s">
        <v>11</v>
      </c>
      <c r="D142" t="s">
        <v>15</v>
      </c>
      <c r="E142">
        <v>996286</v>
      </c>
      <c r="F142">
        <v>9.1999999999999998E-2</v>
      </c>
      <c r="G142">
        <v>30</v>
      </c>
      <c r="H142" t="s">
        <v>11</v>
      </c>
      <c r="I142">
        <v>4</v>
      </c>
    </row>
    <row r="143" spans="1:10" x14ac:dyDescent="0.3">
      <c r="A143">
        <v>142</v>
      </c>
      <c r="B143" t="s">
        <v>388</v>
      </c>
      <c r="C143" t="s">
        <v>11</v>
      </c>
      <c r="D143" t="s">
        <v>389</v>
      </c>
      <c r="E143">
        <v>1774779</v>
      </c>
      <c r="F143">
        <v>0.105</v>
      </c>
      <c r="G143">
        <v>15</v>
      </c>
      <c r="H143" t="s">
        <v>11</v>
      </c>
      <c r="I143">
        <v>3</v>
      </c>
    </row>
    <row r="144" spans="1:10" x14ac:dyDescent="0.3">
      <c r="A144">
        <v>143</v>
      </c>
      <c r="B144" t="s">
        <v>390</v>
      </c>
      <c r="C144" t="s">
        <v>11</v>
      </c>
      <c r="D144" t="s">
        <v>391</v>
      </c>
      <c r="E144">
        <v>2296626</v>
      </c>
      <c r="F144">
        <v>0.11600000000000001</v>
      </c>
      <c r="G144">
        <v>25</v>
      </c>
      <c r="H144" t="s">
        <v>11</v>
      </c>
      <c r="I144">
        <v>3</v>
      </c>
    </row>
    <row r="145" spans="1:10" x14ac:dyDescent="0.3">
      <c r="A145">
        <v>144</v>
      </c>
      <c r="B145" t="s">
        <v>392</v>
      </c>
      <c r="C145" t="s">
        <v>11</v>
      </c>
      <c r="D145" t="s">
        <v>393</v>
      </c>
      <c r="E145">
        <v>974545</v>
      </c>
      <c r="F145">
        <v>0.104</v>
      </c>
      <c r="G145">
        <v>30</v>
      </c>
      <c r="H145" t="s">
        <v>11</v>
      </c>
      <c r="I145">
        <v>2</v>
      </c>
      <c r="J145" t="s">
        <v>394</v>
      </c>
    </row>
    <row r="146" spans="1:10" x14ac:dyDescent="0.3">
      <c r="A146">
        <v>145</v>
      </c>
      <c r="B146" t="s">
        <v>395</v>
      </c>
      <c r="C146" t="s">
        <v>11</v>
      </c>
      <c r="D146" t="s">
        <v>396</v>
      </c>
      <c r="E146">
        <v>1266479</v>
      </c>
      <c r="F146">
        <v>0.113</v>
      </c>
      <c r="G146">
        <v>25</v>
      </c>
      <c r="H146" t="s">
        <v>397</v>
      </c>
      <c r="I146">
        <v>10</v>
      </c>
      <c r="J146" t="s">
        <v>398</v>
      </c>
    </row>
    <row r="147" spans="1:10" x14ac:dyDescent="0.3">
      <c r="A147">
        <v>146</v>
      </c>
      <c r="B147" t="s">
        <v>399</v>
      </c>
      <c r="C147" t="s">
        <v>11</v>
      </c>
      <c r="D147" t="s">
        <v>400</v>
      </c>
      <c r="E147">
        <v>1628164</v>
      </c>
      <c r="F147">
        <v>8.8999999999999996E-2</v>
      </c>
      <c r="G147">
        <v>25</v>
      </c>
      <c r="H147" t="s">
        <v>401</v>
      </c>
      <c r="I147">
        <v>9</v>
      </c>
    </row>
    <row r="148" spans="1:10" x14ac:dyDescent="0.3">
      <c r="A148">
        <v>147</v>
      </c>
      <c r="B148" t="s">
        <v>402</v>
      </c>
      <c r="C148" t="s">
        <v>11</v>
      </c>
      <c r="D148" t="s">
        <v>15</v>
      </c>
      <c r="E148">
        <v>1513158</v>
      </c>
      <c r="F148">
        <v>8.5000000000000006E-2</v>
      </c>
      <c r="G148">
        <v>10</v>
      </c>
      <c r="H148" t="s">
        <v>11</v>
      </c>
      <c r="I148">
        <v>6</v>
      </c>
      <c r="J148" t="s">
        <v>403</v>
      </c>
    </row>
    <row r="149" spans="1:10" x14ac:dyDescent="0.3">
      <c r="A149">
        <v>148</v>
      </c>
      <c r="B149" t="s">
        <v>404</v>
      </c>
      <c r="C149" t="s">
        <v>160</v>
      </c>
      <c r="D149" t="s">
        <v>15</v>
      </c>
      <c r="E149">
        <v>1644297</v>
      </c>
      <c r="F149">
        <v>0.11</v>
      </c>
      <c r="G149">
        <v>30</v>
      </c>
      <c r="H149" t="s">
        <v>11</v>
      </c>
      <c r="I149">
        <v>4</v>
      </c>
      <c r="J149" t="s">
        <v>405</v>
      </c>
    </row>
    <row r="150" spans="1:10" x14ac:dyDescent="0.3">
      <c r="A150">
        <v>149</v>
      </c>
      <c r="B150" t="s">
        <v>406</v>
      </c>
      <c r="C150" t="s">
        <v>11</v>
      </c>
      <c r="D150" t="s">
        <v>15</v>
      </c>
      <c r="E150">
        <v>790212</v>
      </c>
      <c r="F150">
        <v>9.6000000000000002E-2</v>
      </c>
      <c r="G150">
        <v>10</v>
      </c>
      <c r="H150" t="s">
        <v>11</v>
      </c>
      <c r="I150">
        <v>14</v>
      </c>
    </row>
    <row r="151" spans="1:10" x14ac:dyDescent="0.3">
      <c r="A151">
        <v>150</v>
      </c>
      <c r="B151" t="s">
        <v>407</v>
      </c>
      <c r="C151" t="s">
        <v>11</v>
      </c>
      <c r="D151" t="s">
        <v>408</v>
      </c>
      <c r="E151">
        <v>1394068</v>
      </c>
      <c r="F151">
        <v>0.113</v>
      </c>
      <c r="G151">
        <v>10</v>
      </c>
      <c r="H151" t="s">
        <v>11</v>
      </c>
      <c r="I151">
        <v>14</v>
      </c>
      <c r="J151" t="s">
        <v>409</v>
      </c>
    </row>
    <row r="152" spans="1:10" x14ac:dyDescent="0.3">
      <c r="A152">
        <v>151</v>
      </c>
      <c r="B152" t="s">
        <v>410</v>
      </c>
      <c r="C152" t="s">
        <v>411</v>
      </c>
      <c r="D152" t="s">
        <v>412</v>
      </c>
      <c r="E152">
        <v>2234940</v>
      </c>
      <c r="F152">
        <v>9.6000000000000002E-2</v>
      </c>
      <c r="G152">
        <v>10</v>
      </c>
      <c r="H152" t="s">
        <v>11</v>
      </c>
      <c r="I152">
        <v>3</v>
      </c>
    </row>
    <row r="153" spans="1:10" x14ac:dyDescent="0.3">
      <c r="A153">
        <v>152</v>
      </c>
      <c r="B153" t="s">
        <v>413</v>
      </c>
      <c r="C153" t="s">
        <v>237</v>
      </c>
      <c r="D153" t="s">
        <v>414</v>
      </c>
      <c r="E153">
        <v>1269595</v>
      </c>
      <c r="F153">
        <v>9.4E-2</v>
      </c>
      <c r="G153">
        <v>15</v>
      </c>
      <c r="H153" t="s">
        <v>11</v>
      </c>
      <c r="I153">
        <v>5</v>
      </c>
      <c r="J153" t="s">
        <v>415</v>
      </c>
    </row>
    <row r="154" spans="1:10" x14ac:dyDescent="0.3">
      <c r="A154">
        <v>153</v>
      </c>
      <c r="B154" t="s">
        <v>416</v>
      </c>
      <c r="C154" t="s">
        <v>417</v>
      </c>
      <c r="D154" t="s">
        <v>418</v>
      </c>
      <c r="E154">
        <v>1460327</v>
      </c>
      <c r="F154">
        <v>0.111</v>
      </c>
      <c r="G154">
        <v>20</v>
      </c>
      <c r="H154" t="s">
        <v>11</v>
      </c>
      <c r="I154">
        <v>6</v>
      </c>
      <c r="J154" t="s">
        <v>419</v>
      </c>
    </row>
    <row r="155" spans="1:10" x14ac:dyDescent="0.3">
      <c r="A155">
        <v>154</v>
      </c>
      <c r="B155" t="s">
        <v>420</v>
      </c>
      <c r="C155" t="s">
        <v>411</v>
      </c>
      <c r="D155" t="s">
        <v>15</v>
      </c>
      <c r="E155">
        <v>1488181</v>
      </c>
      <c r="F155">
        <v>0.111</v>
      </c>
      <c r="G155">
        <v>10</v>
      </c>
      <c r="H155" t="s">
        <v>421</v>
      </c>
      <c r="I155">
        <v>0</v>
      </c>
    </row>
    <row r="156" spans="1:10" x14ac:dyDescent="0.3">
      <c r="A156">
        <v>155</v>
      </c>
      <c r="B156" t="s">
        <v>422</v>
      </c>
      <c r="C156" t="s">
        <v>11</v>
      </c>
      <c r="D156" t="s">
        <v>423</v>
      </c>
      <c r="E156">
        <v>1253240</v>
      </c>
      <c r="F156">
        <v>9.5000000000000001E-2</v>
      </c>
      <c r="G156">
        <v>20</v>
      </c>
      <c r="H156" t="s">
        <v>424</v>
      </c>
      <c r="I156">
        <v>9</v>
      </c>
    </row>
    <row r="157" spans="1:10" x14ac:dyDescent="0.3">
      <c r="A157">
        <v>156</v>
      </c>
      <c r="B157" t="s">
        <v>425</v>
      </c>
      <c r="C157" t="s">
        <v>11</v>
      </c>
      <c r="D157" t="s">
        <v>426</v>
      </c>
      <c r="E157">
        <v>510631</v>
      </c>
      <c r="F157">
        <v>0.12</v>
      </c>
      <c r="G157">
        <v>10</v>
      </c>
      <c r="H157" t="s">
        <v>11</v>
      </c>
      <c r="I157">
        <v>5</v>
      </c>
      <c r="J157" t="s">
        <v>427</v>
      </c>
    </row>
    <row r="158" spans="1:10" x14ac:dyDescent="0.3">
      <c r="A158">
        <v>157</v>
      </c>
      <c r="B158" t="s">
        <v>428</v>
      </c>
      <c r="C158" t="s">
        <v>11</v>
      </c>
      <c r="D158" t="s">
        <v>15</v>
      </c>
      <c r="E158">
        <v>1075011</v>
      </c>
      <c r="F158">
        <v>0.10100000000000001</v>
      </c>
      <c r="G158">
        <v>20</v>
      </c>
      <c r="H158" t="s">
        <v>364</v>
      </c>
      <c r="I158">
        <v>7</v>
      </c>
      <c r="J158" t="s">
        <v>429</v>
      </c>
    </row>
    <row r="159" spans="1:10" x14ac:dyDescent="0.3">
      <c r="A159">
        <v>158</v>
      </c>
      <c r="B159" t="s">
        <v>430</v>
      </c>
      <c r="C159" t="s">
        <v>11</v>
      </c>
      <c r="D159" t="s">
        <v>431</v>
      </c>
      <c r="E159">
        <v>1175736</v>
      </c>
      <c r="F159">
        <v>8.7999999999999995E-2</v>
      </c>
      <c r="G159">
        <v>20</v>
      </c>
      <c r="H159" t="s">
        <v>11</v>
      </c>
      <c r="I159">
        <v>13</v>
      </c>
    </row>
    <row r="160" spans="1:10" x14ac:dyDescent="0.3">
      <c r="A160">
        <v>159</v>
      </c>
      <c r="B160" t="s">
        <v>432</v>
      </c>
      <c r="C160" t="s">
        <v>11</v>
      </c>
      <c r="D160" t="s">
        <v>433</v>
      </c>
      <c r="E160">
        <v>2018109</v>
      </c>
      <c r="F160">
        <v>0.105</v>
      </c>
      <c r="G160">
        <v>30</v>
      </c>
      <c r="H160" t="s">
        <v>11</v>
      </c>
      <c r="I160">
        <v>11</v>
      </c>
    </row>
    <row r="161" spans="1:10" x14ac:dyDescent="0.3">
      <c r="A161">
        <v>160</v>
      </c>
      <c r="B161" t="s">
        <v>434</v>
      </c>
      <c r="C161" t="s">
        <v>435</v>
      </c>
      <c r="D161" t="s">
        <v>15</v>
      </c>
      <c r="E161">
        <v>1492151</v>
      </c>
      <c r="F161">
        <v>9.6000000000000002E-2</v>
      </c>
      <c r="G161">
        <v>25</v>
      </c>
      <c r="H161" t="s">
        <v>11</v>
      </c>
      <c r="I161">
        <v>2</v>
      </c>
    </row>
    <row r="162" spans="1:10" x14ac:dyDescent="0.3">
      <c r="A162">
        <v>161</v>
      </c>
      <c r="B162" t="s">
        <v>436</v>
      </c>
      <c r="C162" t="s">
        <v>11</v>
      </c>
      <c r="D162" t="s">
        <v>15</v>
      </c>
      <c r="E162">
        <v>1295523</v>
      </c>
      <c r="F162">
        <v>0.09</v>
      </c>
      <c r="G162">
        <v>20</v>
      </c>
      <c r="H162" t="s">
        <v>437</v>
      </c>
      <c r="I162">
        <v>6</v>
      </c>
      <c r="J162" t="s">
        <v>438</v>
      </c>
    </row>
    <row r="163" spans="1:10" x14ac:dyDescent="0.3">
      <c r="A163">
        <v>162</v>
      </c>
      <c r="B163" t="s">
        <v>439</v>
      </c>
      <c r="C163" t="s">
        <v>11</v>
      </c>
      <c r="D163" t="s">
        <v>15</v>
      </c>
      <c r="E163">
        <v>1569793</v>
      </c>
      <c r="F163">
        <v>0.10100000000000001</v>
      </c>
      <c r="G163">
        <v>15</v>
      </c>
      <c r="H163" t="s">
        <v>440</v>
      </c>
      <c r="I163">
        <v>2</v>
      </c>
      <c r="J163" t="s">
        <v>441</v>
      </c>
    </row>
    <row r="164" spans="1:10" x14ac:dyDescent="0.3">
      <c r="A164">
        <v>163</v>
      </c>
      <c r="B164" t="s">
        <v>442</v>
      </c>
      <c r="C164" t="s">
        <v>435</v>
      </c>
      <c r="D164" t="s">
        <v>443</v>
      </c>
      <c r="E164">
        <v>2393728</v>
      </c>
      <c r="F164">
        <v>8.8999999999999996E-2</v>
      </c>
      <c r="G164">
        <v>25</v>
      </c>
      <c r="H164" t="s">
        <v>11</v>
      </c>
      <c r="I164">
        <v>8</v>
      </c>
    </row>
    <row r="165" spans="1:10" x14ac:dyDescent="0.3">
      <c r="A165">
        <v>164</v>
      </c>
      <c r="B165" t="s">
        <v>444</v>
      </c>
      <c r="C165" t="s">
        <v>417</v>
      </c>
      <c r="D165" t="s">
        <v>15</v>
      </c>
      <c r="E165">
        <v>1713562</v>
      </c>
      <c r="F165">
        <v>0.114</v>
      </c>
      <c r="G165">
        <v>25</v>
      </c>
      <c r="H165" t="s">
        <v>11</v>
      </c>
      <c r="I165">
        <v>3</v>
      </c>
      <c r="J165" t="s">
        <v>445</v>
      </c>
    </row>
    <row r="166" spans="1:10" x14ac:dyDescent="0.3">
      <c r="A166">
        <v>165</v>
      </c>
      <c r="B166" t="s">
        <v>446</v>
      </c>
      <c r="C166" t="s">
        <v>11</v>
      </c>
      <c r="D166" t="s">
        <v>15</v>
      </c>
      <c r="E166">
        <v>660098</v>
      </c>
      <c r="F166">
        <v>8.5000000000000006E-2</v>
      </c>
      <c r="G166">
        <v>15</v>
      </c>
      <c r="H166" t="s">
        <v>11</v>
      </c>
      <c r="I166">
        <v>10</v>
      </c>
      <c r="J166" t="s">
        <v>447</v>
      </c>
    </row>
    <row r="167" spans="1:10" x14ac:dyDescent="0.3">
      <c r="A167">
        <v>166</v>
      </c>
      <c r="B167" t="s">
        <v>448</v>
      </c>
      <c r="C167" t="s">
        <v>217</v>
      </c>
      <c r="D167" t="s">
        <v>15</v>
      </c>
      <c r="E167">
        <v>2454502</v>
      </c>
      <c r="F167">
        <v>9.8000000000000004E-2</v>
      </c>
      <c r="G167">
        <v>30</v>
      </c>
      <c r="H167" t="s">
        <v>11</v>
      </c>
      <c r="I167">
        <v>0</v>
      </c>
    </row>
    <row r="168" spans="1:10" x14ac:dyDescent="0.3">
      <c r="A168">
        <v>167</v>
      </c>
      <c r="B168" t="s">
        <v>449</v>
      </c>
      <c r="C168" t="s">
        <v>11</v>
      </c>
      <c r="D168" t="s">
        <v>450</v>
      </c>
      <c r="E168">
        <v>2251648</v>
      </c>
      <c r="F168">
        <v>0.108</v>
      </c>
      <c r="G168">
        <v>25</v>
      </c>
      <c r="H168" t="s">
        <v>11</v>
      </c>
      <c r="I168">
        <v>13</v>
      </c>
    </row>
    <row r="169" spans="1:10" x14ac:dyDescent="0.3">
      <c r="A169">
        <v>168</v>
      </c>
      <c r="B169" t="s">
        <v>451</v>
      </c>
      <c r="C169" t="s">
        <v>11</v>
      </c>
      <c r="D169" t="s">
        <v>452</v>
      </c>
      <c r="E169">
        <v>910977</v>
      </c>
      <c r="F169">
        <v>0.114</v>
      </c>
      <c r="G169">
        <v>15</v>
      </c>
      <c r="H169" t="s">
        <v>453</v>
      </c>
      <c r="I169">
        <v>7</v>
      </c>
    </row>
    <row r="170" spans="1:10" x14ac:dyDescent="0.3">
      <c r="A170">
        <v>169</v>
      </c>
      <c r="B170" t="s">
        <v>454</v>
      </c>
      <c r="C170" t="s">
        <v>11</v>
      </c>
      <c r="D170" t="s">
        <v>455</v>
      </c>
      <c r="E170">
        <v>886040</v>
      </c>
      <c r="F170">
        <v>9.0999999999999998E-2</v>
      </c>
      <c r="G170">
        <v>15</v>
      </c>
      <c r="H170" t="s">
        <v>101</v>
      </c>
      <c r="I170">
        <v>3</v>
      </c>
      <c r="J170" t="s">
        <v>456</v>
      </c>
    </row>
    <row r="171" spans="1:10" x14ac:dyDescent="0.3">
      <c r="A171">
        <v>170</v>
      </c>
      <c r="B171" t="s">
        <v>457</v>
      </c>
      <c r="C171" t="s">
        <v>292</v>
      </c>
      <c r="D171" t="s">
        <v>458</v>
      </c>
      <c r="E171">
        <v>923003</v>
      </c>
      <c r="F171">
        <v>8.1000000000000003E-2</v>
      </c>
      <c r="G171">
        <v>30</v>
      </c>
      <c r="H171" t="s">
        <v>11</v>
      </c>
      <c r="I171">
        <v>13</v>
      </c>
      <c r="J171" t="s">
        <v>459</v>
      </c>
    </row>
    <row r="172" spans="1:10" x14ac:dyDescent="0.3">
      <c r="A172">
        <v>171</v>
      </c>
      <c r="B172" t="s">
        <v>460</v>
      </c>
      <c r="C172" t="s">
        <v>11</v>
      </c>
      <c r="D172" t="s">
        <v>15</v>
      </c>
      <c r="E172">
        <v>1397761</v>
      </c>
      <c r="F172">
        <v>0.104</v>
      </c>
      <c r="G172">
        <v>15</v>
      </c>
      <c r="H172" t="s">
        <v>461</v>
      </c>
      <c r="I172">
        <v>15</v>
      </c>
      <c r="J172" t="s">
        <v>462</v>
      </c>
    </row>
    <row r="173" spans="1:10" x14ac:dyDescent="0.3">
      <c r="A173">
        <v>172</v>
      </c>
      <c r="B173" t="s">
        <v>463</v>
      </c>
      <c r="C173" t="s">
        <v>11</v>
      </c>
      <c r="D173" t="s">
        <v>464</v>
      </c>
      <c r="E173">
        <v>1100650</v>
      </c>
      <c r="F173">
        <v>0.105</v>
      </c>
      <c r="G173">
        <v>15</v>
      </c>
      <c r="H173" t="s">
        <v>11</v>
      </c>
      <c r="I173">
        <v>0</v>
      </c>
    </row>
    <row r="174" spans="1:10" x14ac:dyDescent="0.3">
      <c r="A174">
        <v>173</v>
      </c>
      <c r="B174" t="s">
        <v>465</v>
      </c>
      <c r="C174" t="s">
        <v>11</v>
      </c>
      <c r="D174" t="s">
        <v>15</v>
      </c>
      <c r="E174">
        <v>1953516</v>
      </c>
      <c r="F174">
        <v>0.105</v>
      </c>
      <c r="G174">
        <v>30</v>
      </c>
      <c r="H174" t="s">
        <v>466</v>
      </c>
      <c r="I174">
        <v>9</v>
      </c>
    </row>
    <row r="175" spans="1:10" x14ac:dyDescent="0.3">
      <c r="A175">
        <v>174</v>
      </c>
      <c r="B175" t="s">
        <v>467</v>
      </c>
      <c r="C175" t="s">
        <v>468</v>
      </c>
      <c r="D175" t="s">
        <v>469</v>
      </c>
      <c r="E175">
        <v>2149355</v>
      </c>
      <c r="F175">
        <v>8.7999999999999995E-2</v>
      </c>
      <c r="G175">
        <v>20</v>
      </c>
      <c r="H175" t="s">
        <v>11</v>
      </c>
      <c r="I175">
        <v>2</v>
      </c>
      <c r="J175" t="s">
        <v>470</v>
      </c>
    </row>
    <row r="176" spans="1:10" x14ac:dyDescent="0.3">
      <c r="A176">
        <v>175</v>
      </c>
      <c r="B176" t="s">
        <v>471</v>
      </c>
      <c r="C176" t="s">
        <v>11</v>
      </c>
      <c r="D176" t="s">
        <v>15</v>
      </c>
      <c r="E176">
        <v>738118</v>
      </c>
      <c r="F176">
        <v>9.7000000000000003E-2</v>
      </c>
      <c r="G176">
        <v>30</v>
      </c>
      <c r="H176" t="s">
        <v>11</v>
      </c>
      <c r="I176">
        <v>6</v>
      </c>
      <c r="J176" t="s">
        <v>472</v>
      </c>
    </row>
    <row r="177" spans="1:10" x14ac:dyDescent="0.3">
      <c r="A177">
        <v>176</v>
      </c>
      <c r="B177" t="s">
        <v>473</v>
      </c>
      <c r="C177" t="s">
        <v>11</v>
      </c>
      <c r="D177" t="s">
        <v>474</v>
      </c>
      <c r="E177">
        <v>1420473</v>
      </c>
      <c r="F177">
        <v>9.9000000000000005E-2</v>
      </c>
      <c r="G177">
        <v>10</v>
      </c>
      <c r="H177" t="s">
        <v>475</v>
      </c>
      <c r="I177">
        <v>14</v>
      </c>
      <c r="J177" t="s">
        <v>476</v>
      </c>
    </row>
    <row r="178" spans="1:10" x14ac:dyDescent="0.3">
      <c r="A178">
        <v>177</v>
      </c>
      <c r="B178" t="s">
        <v>477</v>
      </c>
      <c r="C178" t="s">
        <v>215</v>
      </c>
      <c r="D178" t="s">
        <v>478</v>
      </c>
      <c r="E178">
        <v>2401657</v>
      </c>
      <c r="F178">
        <v>0.114</v>
      </c>
      <c r="G178">
        <v>25</v>
      </c>
      <c r="H178" t="s">
        <v>11</v>
      </c>
      <c r="I178">
        <v>4</v>
      </c>
    </row>
    <row r="179" spans="1:10" x14ac:dyDescent="0.3">
      <c r="A179">
        <v>178</v>
      </c>
      <c r="B179" t="s">
        <v>479</v>
      </c>
      <c r="C179" t="s">
        <v>215</v>
      </c>
      <c r="D179" t="s">
        <v>480</v>
      </c>
      <c r="E179">
        <v>604127</v>
      </c>
      <c r="F179">
        <v>0.10100000000000001</v>
      </c>
      <c r="G179">
        <v>30</v>
      </c>
      <c r="H179" t="s">
        <v>481</v>
      </c>
      <c r="I179">
        <v>12</v>
      </c>
    </row>
    <row r="180" spans="1:10" x14ac:dyDescent="0.3">
      <c r="A180">
        <v>179</v>
      </c>
      <c r="B180" t="s">
        <v>482</v>
      </c>
      <c r="C180" t="s">
        <v>11</v>
      </c>
      <c r="D180" t="s">
        <v>483</v>
      </c>
      <c r="E180">
        <v>1330061</v>
      </c>
      <c r="F180">
        <v>9.4E-2</v>
      </c>
      <c r="G180">
        <v>15</v>
      </c>
      <c r="H180" t="s">
        <v>484</v>
      </c>
      <c r="I180">
        <v>5</v>
      </c>
    </row>
    <row r="181" spans="1:10" x14ac:dyDescent="0.3">
      <c r="A181">
        <v>180</v>
      </c>
      <c r="B181" t="s">
        <v>485</v>
      </c>
      <c r="C181" t="s">
        <v>88</v>
      </c>
      <c r="D181" t="s">
        <v>486</v>
      </c>
      <c r="E181">
        <v>575797</v>
      </c>
      <c r="F181">
        <v>0.10100000000000001</v>
      </c>
      <c r="G181">
        <v>25</v>
      </c>
      <c r="H181" t="s">
        <v>11</v>
      </c>
      <c r="I181">
        <v>7</v>
      </c>
    </row>
    <row r="182" spans="1:10" x14ac:dyDescent="0.3">
      <c r="A182">
        <v>181</v>
      </c>
      <c r="B182" t="s">
        <v>487</v>
      </c>
      <c r="C182" t="s">
        <v>11</v>
      </c>
      <c r="D182" t="s">
        <v>488</v>
      </c>
      <c r="E182">
        <v>758226</v>
      </c>
      <c r="F182">
        <v>0.11700000000000001</v>
      </c>
      <c r="G182">
        <v>15</v>
      </c>
      <c r="H182" t="s">
        <v>11</v>
      </c>
      <c r="I182">
        <v>7</v>
      </c>
      <c r="J182" t="s">
        <v>489</v>
      </c>
    </row>
    <row r="183" spans="1:10" x14ac:dyDescent="0.3">
      <c r="A183">
        <v>182</v>
      </c>
      <c r="B183" t="s">
        <v>490</v>
      </c>
      <c r="C183" t="s">
        <v>11</v>
      </c>
      <c r="D183" t="s">
        <v>491</v>
      </c>
      <c r="E183">
        <v>2448680</v>
      </c>
      <c r="F183">
        <v>0.09</v>
      </c>
      <c r="G183">
        <v>15</v>
      </c>
      <c r="H183" t="s">
        <v>492</v>
      </c>
      <c r="I183">
        <v>3</v>
      </c>
      <c r="J183" t="s">
        <v>493</v>
      </c>
    </row>
    <row r="184" spans="1:10" x14ac:dyDescent="0.3">
      <c r="A184">
        <v>183</v>
      </c>
      <c r="B184" t="s">
        <v>494</v>
      </c>
      <c r="C184" t="s">
        <v>11</v>
      </c>
      <c r="D184" t="s">
        <v>495</v>
      </c>
      <c r="E184">
        <v>2320506</v>
      </c>
      <c r="F184">
        <v>8.2000000000000003E-2</v>
      </c>
      <c r="G184">
        <v>20</v>
      </c>
      <c r="H184" t="s">
        <v>496</v>
      </c>
      <c r="I184">
        <v>5</v>
      </c>
      <c r="J184" t="s">
        <v>497</v>
      </c>
    </row>
    <row r="185" spans="1:10" x14ac:dyDescent="0.3">
      <c r="A185">
        <v>184</v>
      </c>
      <c r="B185" t="s">
        <v>498</v>
      </c>
      <c r="C185" t="s">
        <v>11</v>
      </c>
      <c r="D185" t="s">
        <v>499</v>
      </c>
      <c r="E185">
        <v>2254657</v>
      </c>
      <c r="F185">
        <v>8.4000000000000005E-2</v>
      </c>
      <c r="G185">
        <v>30</v>
      </c>
      <c r="H185" t="s">
        <v>11</v>
      </c>
      <c r="I185">
        <v>3</v>
      </c>
    </row>
    <row r="186" spans="1:10" x14ac:dyDescent="0.3">
      <c r="A186">
        <v>185</v>
      </c>
      <c r="B186" t="s">
        <v>500</v>
      </c>
      <c r="C186" t="s">
        <v>435</v>
      </c>
      <c r="D186" t="s">
        <v>501</v>
      </c>
      <c r="E186">
        <v>1001750</v>
      </c>
      <c r="F186">
        <v>9.0999999999999998E-2</v>
      </c>
      <c r="G186">
        <v>25</v>
      </c>
      <c r="H186" t="s">
        <v>11</v>
      </c>
      <c r="I186">
        <v>1</v>
      </c>
    </row>
    <row r="187" spans="1:10" x14ac:dyDescent="0.3">
      <c r="A187">
        <v>186</v>
      </c>
      <c r="B187" t="s">
        <v>502</v>
      </c>
      <c r="C187" t="s">
        <v>11</v>
      </c>
      <c r="D187" t="s">
        <v>503</v>
      </c>
      <c r="E187">
        <v>1889256</v>
      </c>
      <c r="F187">
        <v>0.11</v>
      </c>
      <c r="G187">
        <v>25</v>
      </c>
      <c r="H187" t="s">
        <v>504</v>
      </c>
      <c r="I187">
        <v>11</v>
      </c>
      <c r="J187" t="s">
        <v>505</v>
      </c>
    </row>
    <row r="188" spans="1:10" x14ac:dyDescent="0.3">
      <c r="A188">
        <v>187</v>
      </c>
      <c r="B188" t="s">
        <v>506</v>
      </c>
      <c r="C188" t="s">
        <v>11</v>
      </c>
      <c r="D188" t="s">
        <v>507</v>
      </c>
      <c r="E188">
        <v>2190749</v>
      </c>
      <c r="F188">
        <v>0.10100000000000001</v>
      </c>
      <c r="G188">
        <v>10</v>
      </c>
      <c r="H188" t="s">
        <v>11</v>
      </c>
      <c r="I188">
        <v>5</v>
      </c>
    </row>
    <row r="189" spans="1:10" x14ac:dyDescent="0.3">
      <c r="A189">
        <v>188</v>
      </c>
      <c r="B189" t="s">
        <v>508</v>
      </c>
      <c r="C189" t="s">
        <v>11</v>
      </c>
      <c r="D189" t="s">
        <v>15</v>
      </c>
      <c r="E189">
        <v>1781677</v>
      </c>
      <c r="F189">
        <v>8.6999999999999994E-2</v>
      </c>
      <c r="G189">
        <v>25</v>
      </c>
      <c r="H189" t="s">
        <v>509</v>
      </c>
      <c r="I189">
        <v>8</v>
      </c>
      <c r="J189" t="s">
        <v>510</v>
      </c>
    </row>
    <row r="190" spans="1:10" x14ac:dyDescent="0.3">
      <c r="A190">
        <v>189</v>
      </c>
      <c r="B190" t="s">
        <v>511</v>
      </c>
      <c r="C190" t="s">
        <v>11</v>
      </c>
      <c r="D190" t="s">
        <v>512</v>
      </c>
      <c r="E190">
        <v>960971</v>
      </c>
      <c r="F190">
        <v>8.4000000000000005E-2</v>
      </c>
      <c r="G190">
        <v>15</v>
      </c>
      <c r="H190" t="s">
        <v>11</v>
      </c>
      <c r="I190">
        <v>0</v>
      </c>
      <c r="J190" t="s">
        <v>513</v>
      </c>
    </row>
    <row r="191" spans="1:10" x14ac:dyDescent="0.3">
      <c r="A191">
        <v>190</v>
      </c>
      <c r="B191" t="s">
        <v>514</v>
      </c>
      <c r="C191" t="s">
        <v>11</v>
      </c>
      <c r="D191" t="s">
        <v>515</v>
      </c>
      <c r="E191">
        <v>2359295</v>
      </c>
      <c r="F191">
        <v>8.5000000000000006E-2</v>
      </c>
      <c r="G191">
        <v>10</v>
      </c>
      <c r="H191" t="s">
        <v>11</v>
      </c>
      <c r="I191">
        <v>10</v>
      </c>
      <c r="J191" t="s">
        <v>516</v>
      </c>
    </row>
    <row r="192" spans="1:10" x14ac:dyDescent="0.3">
      <c r="A192">
        <v>191</v>
      </c>
      <c r="B192" t="s">
        <v>517</v>
      </c>
      <c r="C192" t="s">
        <v>11</v>
      </c>
      <c r="D192" t="s">
        <v>15</v>
      </c>
      <c r="E192">
        <v>1052725</v>
      </c>
      <c r="F192">
        <v>8.7999999999999995E-2</v>
      </c>
      <c r="G192">
        <v>10</v>
      </c>
      <c r="H192" t="s">
        <v>518</v>
      </c>
      <c r="I192">
        <v>9</v>
      </c>
    </row>
    <row r="193" spans="1:10" x14ac:dyDescent="0.3">
      <c r="A193">
        <v>192</v>
      </c>
      <c r="B193" t="s">
        <v>519</v>
      </c>
      <c r="C193" t="s">
        <v>520</v>
      </c>
      <c r="D193" t="s">
        <v>521</v>
      </c>
      <c r="E193">
        <v>529971</v>
      </c>
      <c r="F193">
        <v>8.6999999999999994E-2</v>
      </c>
      <c r="G193">
        <v>25</v>
      </c>
      <c r="H193" t="s">
        <v>11</v>
      </c>
      <c r="I193">
        <v>13</v>
      </c>
    </row>
    <row r="194" spans="1:10" x14ac:dyDescent="0.3">
      <c r="A194">
        <v>193</v>
      </c>
      <c r="B194" t="s">
        <v>522</v>
      </c>
      <c r="C194" t="s">
        <v>523</v>
      </c>
      <c r="D194" t="s">
        <v>524</v>
      </c>
      <c r="E194">
        <v>1288546</v>
      </c>
      <c r="F194">
        <v>9.0999999999999998E-2</v>
      </c>
      <c r="G194">
        <v>15</v>
      </c>
      <c r="H194" t="s">
        <v>11</v>
      </c>
      <c r="I194">
        <v>2</v>
      </c>
    </row>
    <row r="195" spans="1:10" x14ac:dyDescent="0.3">
      <c r="A195">
        <v>194</v>
      </c>
      <c r="B195" t="s">
        <v>525</v>
      </c>
      <c r="C195" t="s">
        <v>11</v>
      </c>
      <c r="D195" t="s">
        <v>15</v>
      </c>
      <c r="E195">
        <v>2441734</v>
      </c>
      <c r="F195">
        <v>0.10199999999999999</v>
      </c>
      <c r="G195">
        <v>25</v>
      </c>
      <c r="H195" t="s">
        <v>526</v>
      </c>
      <c r="I195">
        <v>1</v>
      </c>
      <c r="J195" t="s">
        <v>527</v>
      </c>
    </row>
    <row r="196" spans="1:10" x14ac:dyDescent="0.3">
      <c r="A196">
        <v>195</v>
      </c>
      <c r="B196" t="s">
        <v>528</v>
      </c>
      <c r="C196" t="s">
        <v>11</v>
      </c>
      <c r="D196" t="s">
        <v>15</v>
      </c>
      <c r="E196">
        <v>2333604</v>
      </c>
      <c r="F196">
        <v>9.6000000000000002E-2</v>
      </c>
      <c r="G196">
        <v>15</v>
      </c>
      <c r="H196" t="s">
        <v>11</v>
      </c>
      <c r="I196">
        <v>6</v>
      </c>
      <c r="J196" t="s">
        <v>529</v>
      </c>
    </row>
    <row r="197" spans="1:10" x14ac:dyDescent="0.3">
      <c r="A197">
        <v>196</v>
      </c>
      <c r="B197" t="s">
        <v>530</v>
      </c>
      <c r="C197" t="s">
        <v>411</v>
      </c>
      <c r="D197" t="s">
        <v>531</v>
      </c>
      <c r="E197">
        <v>639195</v>
      </c>
      <c r="F197">
        <v>0.109</v>
      </c>
      <c r="G197">
        <v>25</v>
      </c>
      <c r="H197" t="s">
        <v>11</v>
      </c>
      <c r="I197">
        <v>4</v>
      </c>
    </row>
    <row r="198" spans="1:10" x14ac:dyDescent="0.3">
      <c r="A198">
        <v>197</v>
      </c>
      <c r="B198" t="s">
        <v>532</v>
      </c>
      <c r="C198" t="s">
        <v>533</v>
      </c>
      <c r="D198" t="s">
        <v>15</v>
      </c>
      <c r="E198">
        <v>2400918</v>
      </c>
      <c r="F198">
        <v>9.5000000000000001E-2</v>
      </c>
      <c r="G198">
        <v>15</v>
      </c>
      <c r="H198" t="s">
        <v>11</v>
      </c>
      <c r="I198">
        <v>9</v>
      </c>
    </row>
    <row r="199" spans="1:10" x14ac:dyDescent="0.3">
      <c r="A199">
        <v>198</v>
      </c>
      <c r="B199" t="s">
        <v>534</v>
      </c>
      <c r="C199" t="s">
        <v>11</v>
      </c>
      <c r="D199" t="s">
        <v>15</v>
      </c>
      <c r="E199">
        <v>592199</v>
      </c>
      <c r="F199">
        <v>9.2999999999999999E-2</v>
      </c>
      <c r="G199">
        <v>20</v>
      </c>
      <c r="H199" t="s">
        <v>11</v>
      </c>
      <c r="I199">
        <v>14</v>
      </c>
    </row>
    <row r="200" spans="1:10" x14ac:dyDescent="0.3">
      <c r="A200">
        <v>199</v>
      </c>
      <c r="B200" t="s">
        <v>535</v>
      </c>
      <c r="C200" t="s">
        <v>11</v>
      </c>
      <c r="D200" t="s">
        <v>536</v>
      </c>
      <c r="E200">
        <v>1254272</v>
      </c>
      <c r="F200">
        <v>0.111</v>
      </c>
      <c r="G200">
        <v>30</v>
      </c>
      <c r="H200" t="s">
        <v>537</v>
      </c>
      <c r="I200">
        <v>10</v>
      </c>
    </row>
    <row r="201" spans="1:10" x14ac:dyDescent="0.3">
      <c r="A201">
        <v>200</v>
      </c>
      <c r="B201" t="s">
        <v>538</v>
      </c>
      <c r="C201" t="s">
        <v>11</v>
      </c>
      <c r="D201" t="s">
        <v>539</v>
      </c>
      <c r="E201">
        <v>2332363</v>
      </c>
      <c r="F201">
        <v>8.1000000000000003E-2</v>
      </c>
      <c r="G201">
        <v>30</v>
      </c>
      <c r="H201" t="s">
        <v>11</v>
      </c>
      <c r="I201">
        <v>8</v>
      </c>
    </row>
    <row r="202" spans="1:10" x14ac:dyDescent="0.3">
      <c r="A202">
        <v>201</v>
      </c>
      <c r="B202" t="s">
        <v>540</v>
      </c>
      <c r="C202" t="s">
        <v>11</v>
      </c>
      <c r="D202" t="s">
        <v>15</v>
      </c>
      <c r="E202">
        <v>1731047</v>
      </c>
      <c r="F202">
        <v>9.1999999999999998E-2</v>
      </c>
      <c r="G202">
        <v>25</v>
      </c>
      <c r="H202" t="s">
        <v>11</v>
      </c>
      <c r="I202">
        <v>10</v>
      </c>
      <c r="J202" t="s">
        <v>541</v>
      </c>
    </row>
    <row r="203" spans="1:10" x14ac:dyDescent="0.3">
      <c r="A203">
        <v>202</v>
      </c>
      <c r="B203" t="s">
        <v>542</v>
      </c>
      <c r="C203" t="s">
        <v>11</v>
      </c>
      <c r="D203" t="s">
        <v>543</v>
      </c>
      <c r="E203">
        <v>1214700</v>
      </c>
      <c r="F203">
        <v>0.12</v>
      </c>
      <c r="G203">
        <v>20</v>
      </c>
      <c r="H203" t="s">
        <v>11</v>
      </c>
      <c r="I203">
        <v>9</v>
      </c>
    </row>
    <row r="204" spans="1:10" x14ac:dyDescent="0.3">
      <c r="A204">
        <v>203</v>
      </c>
      <c r="B204" t="s">
        <v>544</v>
      </c>
      <c r="C204" t="s">
        <v>11</v>
      </c>
      <c r="D204" t="s">
        <v>545</v>
      </c>
      <c r="E204">
        <v>1152369</v>
      </c>
      <c r="F204">
        <v>0.10199999999999999</v>
      </c>
      <c r="G204">
        <v>10</v>
      </c>
      <c r="H204" t="s">
        <v>11</v>
      </c>
      <c r="I204">
        <v>10</v>
      </c>
      <c r="J204" t="s">
        <v>546</v>
      </c>
    </row>
    <row r="205" spans="1:10" x14ac:dyDescent="0.3">
      <c r="A205">
        <v>204</v>
      </c>
      <c r="B205" t="s">
        <v>547</v>
      </c>
      <c r="C205" t="s">
        <v>11</v>
      </c>
      <c r="D205" t="s">
        <v>548</v>
      </c>
      <c r="E205">
        <v>1478785</v>
      </c>
      <c r="F205">
        <v>0.11</v>
      </c>
      <c r="G205">
        <v>20</v>
      </c>
      <c r="H205" t="s">
        <v>549</v>
      </c>
      <c r="I205">
        <v>6</v>
      </c>
      <c r="J205" t="s">
        <v>550</v>
      </c>
    </row>
    <row r="206" spans="1:10" x14ac:dyDescent="0.3">
      <c r="A206">
        <v>205</v>
      </c>
      <c r="B206" t="s">
        <v>551</v>
      </c>
      <c r="C206" t="s">
        <v>11</v>
      </c>
      <c r="D206" t="s">
        <v>15</v>
      </c>
      <c r="E206">
        <v>1153729</v>
      </c>
      <c r="F206">
        <v>0.11600000000000001</v>
      </c>
      <c r="G206">
        <v>30</v>
      </c>
      <c r="H206" t="s">
        <v>526</v>
      </c>
      <c r="I206">
        <v>4</v>
      </c>
    </row>
    <row r="207" spans="1:10" x14ac:dyDescent="0.3">
      <c r="A207">
        <v>206</v>
      </c>
      <c r="B207" t="s">
        <v>552</v>
      </c>
      <c r="C207" t="s">
        <v>11</v>
      </c>
      <c r="D207" t="s">
        <v>15</v>
      </c>
      <c r="E207">
        <v>833789</v>
      </c>
      <c r="F207">
        <v>0.08</v>
      </c>
      <c r="G207">
        <v>15</v>
      </c>
      <c r="H207" t="s">
        <v>553</v>
      </c>
      <c r="I207">
        <v>7</v>
      </c>
      <c r="J207" t="s">
        <v>554</v>
      </c>
    </row>
    <row r="208" spans="1:10" x14ac:dyDescent="0.3">
      <c r="A208">
        <v>207</v>
      </c>
      <c r="B208" t="s">
        <v>555</v>
      </c>
      <c r="C208" t="s">
        <v>11</v>
      </c>
      <c r="D208" t="s">
        <v>15</v>
      </c>
      <c r="E208">
        <v>629632</v>
      </c>
      <c r="F208">
        <v>0.109</v>
      </c>
      <c r="G208">
        <v>30</v>
      </c>
      <c r="H208" t="s">
        <v>11</v>
      </c>
      <c r="I208">
        <v>3</v>
      </c>
    </row>
    <row r="209" spans="1:10" x14ac:dyDescent="0.3">
      <c r="A209">
        <v>208</v>
      </c>
      <c r="B209" t="s">
        <v>556</v>
      </c>
      <c r="C209" t="s">
        <v>59</v>
      </c>
      <c r="D209" t="s">
        <v>557</v>
      </c>
      <c r="E209">
        <v>2189684</v>
      </c>
      <c r="F209">
        <v>0.115</v>
      </c>
      <c r="G209">
        <v>20</v>
      </c>
      <c r="H209" t="s">
        <v>11</v>
      </c>
      <c r="I209">
        <v>11</v>
      </c>
    </row>
    <row r="210" spans="1:10" x14ac:dyDescent="0.3">
      <c r="A210">
        <v>209</v>
      </c>
      <c r="B210" t="s">
        <v>558</v>
      </c>
      <c r="C210" t="s">
        <v>559</v>
      </c>
      <c r="D210" t="s">
        <v>560</v>
      </c>
      <c r="E210">
        <v>2473935</v>
      </c>
      <c r="F210">
        <v>0.11</v>
      </c>
      <c r="G210">
        <v>10</v>
      </c>
      <c r="H210" t="s">
        <v>11</v>
      </c>
      <c r="I210">
        <v>2</v>
      </c>
    </row>
    <row r="211" spans="1:10" x14ac:dyDescent="0.3">
      <c r="A211">
        <v>210</v>
      </c>
      <c r="B211" t="s">
        <v>561</v>
      </c>
      <c r="C211" t="s">
        <v>262</v>
      </c>
      <c r="D211" t="s">
        <v>562</v>
      </c>
      <c r="E211">
        <v>1164846</v>
      </c>
      <c r="F211">
        <v>0.10199999999999999</v>
      </c>
      <c r="G211">
        <v>25</v>
      </c>
      <c r="H211" t="s">
        <v>563</v>
      </c>
      <c r="I211">
        <v>13</v>
      </c>
      <c r="J211" t="s">
        <v>564</v>
      </c>
    </row>
    <row r="212" spans="1:10" x14ac:dyDescent="0.3">
      <c r="A212">
        <v>211</v>
      </c>
      <c r="B212" t="s">
        <v>565</v>
      </c>
      <c r="C212" t="s">
        <v>566</v>
      </c>
      <c r="D212" t="s">
        <v>15</v>
      </c>
      <c r="E212">
        <v>2324644</v>
      </c>
      <c r="F212">
        <v>0.106</v>
      </c>
      <c r="G212">
        <v>25</v>
      </c>
      <c r="H212" t="s">
        <v>11</v>
      </c>
      <c r="I212">
        <v>10</v>
      </c>
    </row>
    <row r="213" spans="1:10" x14ac:dyDescent="0.3">
      <c r="A213">
        <v>212</v>
      </c>
      <c r="B213" t="s">
        <v>567</v>
      </c>
      <c r="C213" t="s">
        <v>11</v>
      </c>
      <c r="D213" t="s">
        <v>15</v>
      </c>
      <c r="E213">
        <v>1409557</v>
      </c>
      <c r="F213">
        <v>0.10199999999999999</v>
      </c>
      <c r="G213">
        <v>15</v>
      </c>
      <c r="H213" t="s">
        <v>11</v>
      </c>
      <c r="I213">
        <v>3</v>
      </c>
    </row>
    <row r="214" spans="1:10" x14ac:dyDescent="0.3">
      <c r="A214">
        <v>213</v>
      </c>
      <c r="B214" t="s">
        <v>568</v>
      </c>
      <c r="C214" t="s">
        <v>292</v>
      </c>
      <c r="D214" t="s">
        <v>15</v>
      </c>
      <c r="E214">
        <v>721802</v>
      </c>
      <c r="F214">
        <v>8.4000000000000005E-2</v>
      </c>
      <c r="G214">
        <v>30</v>
      </c>
      <c r="H214" t="s">
        <v>11</v>
      </c>
      <c r="I214">
        <v>3</v>
      </c>
    </row>
    <row r="215" spans="1:10" x14ac:dyDescent="0.3">
      <c r="A215">
        <v>214</v>
      </c>
      <c r="B215" t="s">
        <v>569</v>
      </c>
      <c r="C215" t="s">
        <v>11</v>
      </c>
      <c r="D215" t="s">
        <v>570</v>
      </c>
      <c r="E215">
        <v>962546</v>
      </c>
      <c r="F215">
        <v>0.11899999999999999</v>
      </c>
      <c r="G215">
        <v>30</v>
      </c>
      <c r="H215" t="s">
        <v>11</v>
      </c>
      <c r="I215">
        <v>9</v>
      </c>
      <c r="J215" t="s">
        <v>571</v>
      </c>
    </row>
    <row r="216" spans="1:10" x14ac:dyDescent="0.3">
      <c r="A216">
        <v>215</v>
      </c>
      <c r="B216" t="s">
        <v>572</v>
      </c>
      <c r="C216" t="s">
        <v>573</v>
      </c>
      <c r="D216" t="s">
        <v>574</v>
      </c>
      <c r="E216">
        <v>1305042</v>
      </c>
      <c r="F216">
        <v>9.4E-2</v>
      </c>
      <c r="G216">
        <v>15</v>
      </c>
      <c r="H216" t="s">
        <v>11</v>
      </c>
      <c r="I216">
        <v>3</v>
      </c>
    </row>
    <row r="217" spans="1:10" x14ac:dyDescent="0.3">
      <c r="A217">
        <v>216</v>
      </c>
      <c r="B217" t="s">
        <v>575</v>
      </c>
      <c r="C217" t="s">
        <v>11</v>
      </c>
      <c r="D217" t="s">
        <v>576</v>
      </c>
      <c r="E217">
        <v>1203466</v>
      </c>
      <c r="F217">
        <v>8.5999999999999993E-2</v>
      </c>
      <c r="G217">
        <v>15</v>
      </c>
      <c r="H217" t="s">
        <v>11</v>
      </c>
      <c r="I217">
        <v>4</v>
      </c>
      <c r="J217" t="s">
        <v>577</v>
      </c>
    </row>
    <row r="218" spans="1:10" x14ac:dyDescent="0.3">
      <c r="A218">
        <v>217</v>
      </c>
      <c r="B218" t="s">
        <v>578</v>
      </c>
      <c r="C218" t="s">
        <v>468</v>
      </c>
      <c r="D218" t="s">
        <v>15</v>
      </c>
      <c r="E218">
        <v>943421</v>
      </c>
      <c r="F218">
        <v>9.9000000000000005E-2</v>
      </c>
      <c r="G218">
        <v>25</v>
      </c>
      <c r="H218" t="s">
        <v>11</v>
      </c>
      <c r="I218">
        <v>14</v>
      </c>
    </row>
    <row r="219" spans="1:10" x14ac:dyDescent="0.3">
      <c r="A219">
        <v>218</v>
      </c>
      <c r="B219" t="s">
        <v>579</v>
      </c>
      <c r="C219" t="s">
        <v>580</v>
      </c>
      <c r="D219" t="s">
        <v>15</v>
      </c>
      <c r="E219">
        <v>1316427</v>
      </c>
      <c r="F219">
        <v>0.11899999999999999</v>
      </c>
      <c r="G219">
        <v>10</v>
      </c>
      <c r="H219" t="s">
        <v>11</v>
      </c>
      <c r="I219">
        <v>3</v>
      </c>
    </row>
    <row r="220" spans="1:10" x14ac:dyDescent="0.3">
      <c r="A220">
        <v>219</v>
      </c>
      <c r="B220" t="s">
        <v>581</v>
      </c>
      <c r="C220" t="s">
        <v>11</v>
      </c>
      <c r="D220" t="s">
        <v>582</v>
      </c>
      <c r="E220">
        <v>865797</v>
      </c>
      <c r="F220">
        <v>9.8000000000000004E-2</v>
      </c>
      <c r="G220">
        <v>10</v>
      </c>
      <c r="H220" t="s">
        <v>11</v>
      </c>
      <c r="I220">
        <v>13</v>
      </c>
      <c r="J220" t="s">
        <v>583</v>
      </c>
    </row>
    <row r="221" spans="1:10" x14ac:dyDescent="0.3">
      <c r="A221">
        <v>220</v>
      </c>
      <c r="B221" t="s">
        <v>584</v>
      </c>
      <c r="C221" t="s">
        <v>11</v>
      </c>
      <c r="D221" t="s">
        <v>585</v>
      </c>
      <c r="E221">
        <v>1080121</v>
      </c>
      <c r="F221">
        <v>0.113</v>
      </c>
      <c r="G221">
        <v>15</v>
      </c>
      <c r="H221" t="s">
        <v>11</v>
      </c>
      <c r="I221">
        <v>3</v>
      </c>
    </row>
    <row r="222" spans="1:10" x14ac:dyDescent="0.3">
      <c r="A222">
        <v>221</v>
      </c>
      <c r="B222" t="s">
        <v>586</v>
      </c>
      <c r="C222" t="s">
        <v>11</v>
      </c>
      <c r="D222" t="s">
        <v>587</v>
      </c>
      <c r="E222">
        <v>1387787</v>
      </c>
      <c r="F222">
        <v>8.7999999999999995E-2</v>
      </c>
      <c r="G222">
        <v>30</v>
      </c>
      <c r="H222" t="s">
        <v>588</v>
      </c>
      <c r="I222">
        <v>13</v>
      </c>
      <c r="J222" t="s">
        <v>589</v>
      </c>
    </row>
    <row r="223" spans="1:10" x14ac:dyDescent="0.3">
      <c r="A223">
        <v>222</v>
      </c>
      <c r="B223" t="s">
        <v>590</v>
      </c>
      <c r="C223" t="s">
        <v>11</v>
      </c>
      <c r="D223" t="s">
        <v>591</v>
      </c>
      <c r="E223">
        <v>1305245</v>
      </c>
      <c r="F223">
        <v>8.4000000000000005E-2</v>
      </c>
      <c r="G223">
        <v>10</v>
      </c>
      <c r="H223" t="s">
        <v>11</v>
      </c>
      <c r="I223">
        <v>3</v>
      </c>
      <c r="J223" t="s">
        <v>592</v>
      </c>
    </row>
    <row r="224" spans="1:10" x14ac:dyDescent="0.3">
      <c r="A224">
        <v>223</v>
      </c>
      <c r="B224" t="s">
        <v>593</v>
      </c>
      <c r="C224" t="s">
        <v>11</v>
      </c>
      <c r="D224" t="s">
        <v>594</v>
      </c>
      <c r="E224">
        <v>813658</v>
      </c>
      <c r="F224">
        <v>8.5000000000000006E-2</v>
      </c>
      <c r="G224">
        <v>25</v>
      </c>
      <c r="H224" t="s">
        <v>11</v>
      </c>
      <c r="I224">
        <v>2</v>
      </c>
      <c r="J224" t="s">
        <v>595</v>
      </c>
    </row>
    <row r="225" spans="1:10" x14ac:dyDescent="0.3">
      <c r="A225">
        <v>224</v>
      </c>
      <c r="B225" t="s">
        <v>596</v>
      </c>
      <c r="C225" t="s">
        <v>11</v>
      </c>
      <c r="D225" t="s">
        <v>15</v>
      </c>
      <c r="E225">
        <v>1733772</v>
      </c>
      <c r="F225">
        <v>0.10199999999999999</v>
      </c>
      <c r="G225">
        <v>15</v>
      </c>
      <c r="H225" t="s">
        <v>11</v>
      </c>
      <c r="I225">
        <v>7</v>
      </c>
    </row>
    <row r="226" spans="1:10" x14ac:dyDescent="0.3">
      <c r="A226">
        <v>225</v>
      </c>
      <c r="B226" t="s">
        <v>597</v>
      </c>
      <c r="C226" t="s">
        <v>11</v>
      </c>
      <c r="D226" t="s">
        <v>15</v>
      </c>
      <c r="E226">
        <v>1353308</v>
      </c>
      <c r="F226">
        <v>0.11799999999999999</v>
      </c>
      <c r="G226">
        <v>15</v>
      </c>
      <c r="H226" t="s">
        <v>11</v>
      </c>
      <c r="I226">
        <v>2</v>
      </c>
      <c r="J226" t="s">
        <v>598</v>
      </c>
    </row>
    <row r="227" spans="1:10" x14ac:dyDescent="0.3">
      <c r="A227">
        <v>226</v>
      </c>
      <c r="B227" t="s">
        <v>599</v>
      </c>
      <c r="C227" t="s">
        <v>11</v>
      </c>
      <c r="D227" t="s">
        <v>600</v>
      </c>
      <c r="E227">
        <v>1510817</v>
      </c>
      <c r="F227">
        <v>9.1999999999999998E-2</v>
      </c>
      <c r="G227">
        <v>15</v>
      </c>
      <c r="H227" t="s">
        <v>11</v>
      </c>
      <c r="I227">
        <v>9</v>
      </c>
    </row>
    <row r="228" spans="1:10" x14ac:dyDescent="0.3">
      <c r="A228">
        <v>227</v>
      </c>
      <c r="B228" t="s">
        <v>601</v>
      </c>
      <c r="C228" t="s">
        <v>11</v>
      </c>
      <c r="D228" t="s">
        <v>602</v>
      </c>
      <c r="E228">
        <v>2358574</v>
      </c>
      <c r="F228">
        <v>8.8999999999999996E-2</v>
      </c>
      <c r="G228">
        <v>15</v>
      </c>
      <c r="H228" t="s">
        <v>603</v>
      </c>
      <c r="I228">
        <v>1</v>
      </c>
    </row>
    <row r="229" spans="1:10" x14ac:dyDescent="0.3">
      <c r="A229">
        <v>228</v>
      </c>
      <c r="B229" t="s">
        <v>604</v>
      </c>
      <c r="C229" t="s">
        <v>164</v>
      </c>
      <c r="D229" t="s">
        <v>605</v>
      </c>
      <c r="E229">
        <v>2164708</v>
      </c>
      <c r="F229">
        <v>9.1999999999999998E-2</v>
      </c>
      <c r="G229">
        <v>15</v>
      </c>
      <c r="H229" t="s">
        <v>606</v>
      </c>
      <c r="I229">
        <v>3</v>
      </c>
    </row>
    <row r="230" spans="1:10" x14ac:dyDescent="0.3">
      <c r="A230">
        <v>229</v>
      </c>
      <c r="B230" t="s">
        <v>607</v>
      </c>
      <c r="C230" t="s">
        <v>160</v>
      </c>
      <c r="D230" t="s">
        <v>608</v>
      </c>
      <c r="E230">
        <v>2419230</v>
      </c>
      <c r="F230">
        <v>0.11600000000000001</v>
      </c>
      <c r="G230">
        <v>30</v>
      </c>
      <c r="H230" t="s">
        <v>11</v>
      </c>
      <c r="I230">
        <v>3</v>
      </c>
      <c r="J230" t="s">
        <v>609</v>
      </c>
    </row>
    <row r="231" spans="1:10" x14ac:dyDescent="0.3">
      <c r="A231">
        <v>230</v>
      </c>
      <c r="B231" t="s">
        <v>610</v>
      </c>
      <c r="C231" t="s">
        <v>160</v>
      </c>
      <c r="D231" t="s">
        <v>611</v>
      </c>
      <c r="E231">
        <v>1843514</v>
      </c>
      <c r="F231">
        <v>0.111</v>
      </c>
      <c r="G231">
        <v>15</v>
      </c>
      <c r="H231" t="s">
        <v>11</v>
      </c>
      <c r="I231">
        <v>12</v>
      </c>
    </row>
    <row r="232" spans="1:10" x14ac:dyDescent="0.3">
      <c r="A232">
        <v>231</v>
      </c>
      <c r="B232" t="s">
        <v>612</v>
      </c>
      <c r="C232" t="s">
        <v>11</v>
      </c>
      <c r="D232" t="s">
        <v>15</v>
      </c>
      <c r="E232">
        <v>1334801</v>
      </c>
      <c r="F232">
        <v>0.111</v>
      </c>
      <c r="G232">
        <v>10</v>
      </c>
      <c r="H232" t="s">
        <v>11</v>
      </c>
      <c r="I232">
        <v>14</v>
      </c>
      <c r="J232" t="s">
        <v>613</v>
      </c>
    </row>
    <row r="233" spans="1:10" x14ac:dyDescent="0.3">
      <c r="A233">
        <v>232</v>
      </c>
      <c r="B233" t="s">
        <v>614</v>
      </c>
      <c r="C233" t="s">
        <v>11</v>
      </c>
      <c r="D233" t="s">
        <v>615</v>
      </c>
      <c r="E233">
        <v>1673465</v>
      </c>
      <c r="F233">
        <v>0.12</v>
      </c>
      <c r="G233">
        <v>10</v>
      </c>
      <c r="H233" t="s">
        <v>11</v>
      </c>
      <c r="I233">
        <v>12</v>
      </c>
      <c r="J233" t="s">
        <v>616</v>
      </c>
    </row>
    <row r="234" spans="1:10" x14ac:dyDescent="0.3">
      <c r="A234">
        <v>233</v>
      </c>
      <c r="B234" t="s">
        <v>617</v>
      </c>
      <c r="C234" t="s">
        <v>11</v>
      </c>
      <c r="D234" t="s">
        <v>618</v>
      </c>
      <c r="E234">
        <v>777293</v>
      </c>
      <c r="F234">
        <v>0.108</v>
      </c>
      <c r="G234">
        <v>20</v>
      </c>
      <c r="H234" t="s">
        <v>11</v>
      </c>
      <c r="I234">
        <v>9</v>
      </c>
    </row>
    <row r="235" spans="1:10" x14ac:dyDescent="0.3">
      <c r="A235">
        <v>234</v>
      </c>
      <c r="B235" t="s">
        <v>619</v>
      </c>
      <c r="C235" t="s">
        <v>11</v>
      </c>
      <c r="D235" t="s">
        <v>620</v>
      </c>
      <c r="E235">
        <v>1187958</v>
      </c>
      <c r="F235">
        <v>8.6999999999999994E-2</v>
      </c>
      <c r="G235">
        <v>30</v>
      </c>
      <c r="H235" t="s">
        <v>11</v>
      </c>
      <c r="I235">
        <v>3</v>
      </c>
      <c r="J235" t="s">
        <v>621</v>
      </c>
    </row>
    <row r="236" spans="1:10" x14ac:dyDescent="0.3">
      <c r="A236">
        <v>235</v>
      </c>
      <c r="B236" t="s">
        <v>622</v>
      </c>
      <c r="C236" t="s">
        <v>11</v>
      </c>
      <c r="D236" t="s">
        <v>623</v>
      </c>
      <c r="E236">
        <v>1939205</v>
      </c>
      <c r="F236">
        <v>0.113</v>
      </c>
      <c r="G236">
        <v>10</v>
      </c>
      <c r="H236" t="s">
        <v>624</v>
      </c>
      <c r="I236">
        <v>5</v>
      </c>
    </row>
    <row r="237" spans="1:10" x14ac:dyDescent="0.3">
      <c r="A237">
        <v>236</v>
      </c>
      <c r="B237" t="s">
        <v>625</v>
      </c>
      <c r="C237" t="s">
        <v>11</v>
      </c>
      <c r="D237" t="s">
        <v>15</v>
      </c>
      <c r="E237">
        <v>2091938</v>
      </c>
      <c r="F237">
        <v>8.3000000000000004E-2</v>
      </c>
      <c r="G237">
        <v>15</v>
      </c>
      <c r="H237" t="s">
        <v>537</v>
      </c>
      <c r="I237">
        <v>7</v>
      </c>
    </row>
    <row r="238" spans="1:10" x14ac:dyDescent="0.3">
      <c r="A238">
        <v>237</v>
      </c>
      <c r="B238" t="s">
        <v>626</v>
      </c>
      <c r="C238" t="s">
        <v>11</v>
      </c>
      <c r="D238" t="s">
        <v>627</v>
      </c>
      <c r="E238">
        <v>1261655</v>
      </c>
      <c r="F238">
        <v>0.11600000000000001</v>
      </c>
      <c r="G238">
        <v>25</v>
      </c>
      <c r="H238" t="s">
        <v>11</v>
      </c>
      <c r="I238">
        <v>7</v>
      </c>
      <c r="J238" t="s">
        <v>628</v>
      </c>
    </row>
    <row r="239" spans="1:10" x14ac:dyDescent="0.3">
      <c r="A239">
        <v>238</v>
      </c>
      <c r="B239" t="s">
        <v>629</v>
      </c>
      <c r="C239" t="s">
        <v>160</v>
      </c>
      <c r="D239" t="s">
        <v>15</v>
      </c>
      <c r="E239">
        <v>540987</v>
      </c>
      <c r="F239">
        <v>9.0999999999999998E-2</v>
      </c>
      <c r="G239">
        <v>20</v>
      </c>
      <c r="H239" t="s">
        <v>11</v>
      </c>
      <c r="I239">
        <v>14</v>
      </c>
    </row>
    <row r="240" spans="1:10" x14ac:dyDescent="0.3">
      <c r="A240">
        <v>239</v>
      </c>
      <c r="B240" t="s">
        <v>630</v>
      </c>
      <c r="C240" t="s">
        <v>371</v>
      </c>
      <c r="D240" t="s">
        <v>631</v>
      </c>
      <c r="E240">
        <v>721882</v>
      </c>
      <c r="F240">
        <v>0.109</v>
      </c>
      <c r="G240">
        <v>30</v>
      </c>
      <c r="H240" t="s">
        <v>11</v>
      </c>
      <c r="I240">
        <v>2</v>
      </c>
    </row>
    <row r="241" spans="1:10" x14ac:dyDescent="0.3">
      <c r="A241">
        <v>240</v>
      </c>
      <c r="B241" t="s">
        <v>632</v>
      </c>
      <c r="C241" t="s">
        <v>11</v>
      </c>
      <c r="D241" t="s">
        <v>15</v>
      </c>
      <c r="E241">
        <v>2000714</v>
      </c>
      <c r="F241">
        <v>9.9000000000000005E-2</v>
      </c>
      <c r="G241">
        <v>10</v>
      </c>
      <c r="H241" t="s">
        <v>633</v>
      </c>
      <c r="I241">
        <v>13</v>
      </c>
    </row>
    <row r="242" spans="1:10" x14ac:dyDescent="0.3">
      <c r="A242">
        <v>241</v>
      </c>
      <c r="B242" t="s">
        <v>634</v>
      </c>
      <c r="C242" t="s">
        <v>209</v>
      </c>
      <c r="D242" t="s">
        <v>635</v>
      </c>
      <c r="E242">
        <v>551259</v>
      </c>
      <c r="F242">
        <v>0.107</v>
      </c>
      <c r="G242">
        <v>25</v>
      </c>
      <c r="H242" t="s">
        <v>11</v>
      </c>
      <c r="I242">
        <v>12</v>
      </c>
      <c r="J242" t="s">
        <v>636</v>
      </c>
    </row>
    <row r="243" spans="1:10" x14ac:dyDescent="0.3">
      <c r="A243">
        <v>242</v>
      </c>
      <c r="B243" t="s">
        <v>637</v>
      </c>
      <c r="C243" t="s">
        <v>11</v>
      </c>
      <c r="D243" t="s">
        <v>638</v>
      </c>
      <c r="E243">
        <v>2475453</v>
      </c>
      <c r="F243">
        <v>8.5000000000000006E-2</v>
      </c>
      <c r="G243">
        <v>30</v>
      </c>
      <c r="H243" t="s">
        <v>11</v>
      </c>
      <c r="I243">
        <v>6</v>
      </c>
      <c r="J243" t="s">
        <v>639</v>
      </c>
    </row>
    <row r="244" spans="1:10" x14ac:dyDescent="0.3">
      <c r="A244">
        <v>243</v>
      </c>
      <c r="B244" t="s">
        <v>640</v>
      </c>
      <c r="C244" t="s">
        <v>11</v>
      </c>
      <c r="D244" t="s">
        <v>15</v>
      </c>
      <c r="E244">
        <v>2027790</v>
      </c>
      <c r="F244">
        <v>8.8999999999999996E-2</v>
      </c>
      <c r="G244">
        <v>15</v>
      </c>
      <c r="H244" t="s">
        <v>11</v>
      </c>
      <c r="I244">
        <v>12</v>
      </c>
      <c r="J244" t="s">
        <v>641</v>
      </c>
    </row>
    <row r="245" spans="1:10" x14ac:dyDescent="0.3">
      <c r="A245">
        <v>244</v>
      </c>
      <c r="B245" t="s">
        <v>642</v>
      </c>
      <c r="C245" t="s">
        <v>417</v>
      </c>
      <c r="D245" t="s">
        <v>15</v>
      </c>
      <c r="E245">
        <v>1194130</v>
      </c>
      <c r="F245">
        <v>0.109</v>
      </c>
      <c r="G245">
        <v>20</v>
      </c>
      <c r="H245" t="s">
        <v>11</v>
      </c>
      <c r="I245">
        <v>7</v>
      </c>
    </row>
    <row r="246" spans="1:10" x14ac:dyDescent="0.3">
      <c r="A246">
        <v>245</v>
      </c>
      <c r="B246" t="s">
        <v>643</v>
      </c>
      <c r="C246" t="s">
        <v>11</v>
      </c>
      <c r="D246" t="s">
        <v>644</v>
      </c>
      <c r="E246">
        <v>555324</v>
      </c>
      <c r="F246">
        <v>9.5000000000000001E-2</v>
      </c>
      <c r="G246">
        <v>25</v>
      </c>
      <c r="H246" t="s">
        <v>11</v>
      </c>
      <c r="I246">
        <v>3</v>
      </c>
    </row>
    <row r="247" spans="1:10" x14ac:dyDescent="0.3">
      <c r="A247">
        <v>246</v>
      </c>
      <c r="B247" t="s">
        <v>645</v>
      </c>
      <c r="C247" t="s">
        <v>646</v>
      </c>
      <c r="D247" t="s">
        <v>647</v>
      </c>
      <c r="E247">
        <v>1299171</v>
      </c>
      <c r="F247">
        <v>0.109</v>
      </c>
      <c r="G247">
        <v>20</v>
      </c>
      <c r="H247" t="s">
        <v>11</v>
      </c>
      <c r="I247">
        <v>10</v>
      </c>
      <c r="J247" t="s">
        <v>648</v>
      </c>
    </row>
    <row r="248" spans="1:10" x14ac:dyDescent="0.3">
      <c r="A248">
        <v>247</v>
      </c>
      <c r="B248" t="s">
        <v>649</v>
      </c>
      <c r="C248" t="s">
        <v>573</v>
      </c>
      <c r="D248" t="s">
        <v>15</v>
      </c>
      <c r="E248">
        <v>2425265</v>
      </c>
      <c r="F248">
        <v>8.8999999999999996E-2</v>
      </c>
      <c r="G248">
        <v>30</v>
      </c>
      <c r="H248" t="s">
        <v>650</v>
      </c>
      <c r="I248">
        <v>11</v>
      </c>
      <c r="J248" t="s">
        <v>651</v>
      </c>
    </row>
    <row r="249" spans="1:10" x14ac:dyDescent="0.3">
      <c r="A249">
        <v>248</v>
      </c>
      <c r="B249" t="s">
        <v>652</v>
      </c>
      <c r="C249" t="s">
        <v>11</v>
      </c>
      <c r="D249" t="s">
        <v>653</v>
      </c>
      <c r="E249">
        <v>1793855</v>
      </c>
      <c r="F249">
        <v>8.4000000000000005E-2</v>
      </c>
      <c r="G249">
        <v>30</v>
      </c>
      <c r="H249" t="s">
        <v>11</v>
      </c>
      <c r="I249">
        <v>13</v>
      </c>
      <c r="J249" t="s">
        <v>654</v>
      </c>
    </row>
    <row r="250" spans="1:10" x14ac:dyDescent="0.3">
      <c r="A250">
        <v>249</v>
      </c>
      <c r="B250" t="s">
        <v>655</v>
      </c>
      <c r="C250" t="s">
        <v>520</v>
      </c>
      <c r="D250" t="s">
        <v>656</v>
      </c>
      <c r="E250">
        <v>1151240</v>
      </c>
      <c r="F250">
        <v>0.104</v>
      </c>
      <c r="G250">
        <v>25</v>
      </c>
      <c r="H250" t="s">
        <v>11</v>
      </c>
      <c r="I250">
        <v>15</v>
      </c>
    </row>
    <row r="251" spans="1:10" x14ac:dyDescent="0.3">
      <c r="A251">
        <v>250</v>
      </c>
      <c r="B251" t="s">
        <v>657</v>
      </c>
      <c r="C251" t="s">
        <v>11</v>
      </c>
      <c r="D251" t="s">
        <v>658</v>
      </c>
      <c r="E251">
        <v>2461826</v>
      </c>
      <c r="F251">
        <v>9.2999999999999999E-2</v>
      </c>
      <c r="G251">
        <v>15</v>
      </c>
      <c r="H251" t="s">
        <v>11</v>
      </c>
      <c r="I251">
        <v>8</v>
      </c>
      <c r="J251" t="s">
        <v>659</v>
      </c>
    </row>
    <row r="252" spans="1:10" x14ac:dyDescent="0.3">
      <c r="A252">
        <v>251</v>
      </c>
      <c r="B252" t="s">
        <v>660</v>
      </c>
      <c r="C252" t="s">
        <v>11</v>
      </c>
      <c r="D252" t="s">
        <v>15</v>
      </c>
      <c r="E252">
        <v>2275807</v>
      </c>
      <c r="F252">
        <v>8.4000000000000005E-2</v>
      </c>
      <c r="G252">
        <v>15</v>
      </c>
      <c r="H252" t="s">
        <v>11</v>
      </c>
      <c r="I252">
        <v>11</v>
      </c>
    </row>
    <row r="253" spans="1:10" x14ac:dyDescent="0.3">
      <c r="A253">
        <v>252</v>
      </c>
      <c r="B253" t="s">
        <v>661</v>
      </c>
      <c r="C253" t="s">
        <v>580</v>
      </c>
      <c r="D253" t="s">
        <v>662</v>
      </c>
      <c r="E253">
        <v>753386</v>
      </c>
      <c r="F253">
        <v>8.4000000000000005E-2</v>
      </c>
      <c r="G253">
        <v>15</v>
      </c>
      <c r="H253" t="s">
        <v>663</v>
      </c>
      <c r="I253">
        <v>0</v>
      </c>
      <c r="J253" t="s">
        <v>664</v>
      </c>
    </row>
    <row r="254" spans="1:10" x14ac:dyDescent="0.3">
      <c r="A254">
        <v>253</v>
      </c>
      <c r="B254" t="s">
        <v>665</v>
      </c>
      <c r="C254" t="s">
        <v>11</v>
      </c>
      <c r="D254" t="s">
        <v>666</v>
      </c>
      <c r="E254">
        <v>1381445</v>
      </c>
      <c r="F254">
        <v>8.1000000000000003E-2</v>
      </c>
      <c r="G254">
        <v>10</v>
      </c>
      <c r="H254" t="s">
        <v>11</v>
      </c>
      <c r="I254">
        <v>11</v>
      </c>
      <c r="J254" t="s">
        <v>667</v>
      </c>
    </row>
    <row r="255" spans="1:10" x14ac:dyDescent="0.3">
      <c r="A255">
        <v>254</v>
      </c>
      <c r="B255" t="s">
        <v>668</v>
      </c>
      <c r="C255" t="s">
        <v>11</v>
      </c>
      <c r="D255" t="s">
        <v>669</v>
      </c>
      <c r="E255">
        <v>1496030</v>
      </c>
      <c r="F255">
        <v>0.11600000000000001</v>
      </c>
      <c r="G255">
        <v>20</v>
      </c>
      <c r="H255" t="s">
        <v>11</v>
      </c>
      <c r="I255">
        <v>8</v>
      </c>
    </row>
    <row r="256" spans="1:10" x14ac:dyDescent="0.3">
      <c r="A256">
        <v>255</v>
      </c>
      <c r="B256" t="s">
        <v>670</v>
      </c>
      <c r="C256" t="s">
        <v>11</v>
      </c>
      <c r="D256" t="s">
        <v>671</v>
      </c>
      <c r="E256">
        <v>2226904</v>
      </c>
      <c r="F256">
        <v>0.11899999999999999</v>
      </c>
      <c r="G256">
        <v>10</v>
      </c>
      <c r="H256" t="s">
        <v>11</v>
      </c>
      <c r="I256">
        <v>4</v>
      </c>
      <c r="J256" t="s">
        <v>672</v>
      </c>
    </row>
    <row r="257" spans="1:10" x14ac:dyDescent="0.3">
      <c r="A257">
        <v>256</v>
      </c>
      <c r="B257" t="s">
        <v>673</v>
      </c>
      <c r="C257" t="s">
        <v>11</v>
      </c>
      <c r="D257" t="s">
        <v>674</v>
      </c>
      <c r="E257">
        <v>1383851</v>
      </c>
      <c r="F257">
        <v>8.5000000000000006E-2</v>
      </c>
      <c r="G257">
        <v>30</v>
      </c>
      <c r="H257" t="s">
        <v>11</v>
      </c>
      <c r="I257">
        <v>12</v>
      </c>
      <c r="J257" t="s">
        <v>675</v>
      </c>
    </row>
    <row r="258" spans="1:10" x14ac:dyDescent="0.3">
      <c r="A258">
        <v>257</v>
      </c>
      <c r="B258" t="s">
        <v>676</v>
      </c>
      <c r="C258" t="s">
        <v>367</v>
      </c>
      <c r="D258" t="s">
        <v>677</v>
      </c>
      <c r="E258">
        <v>2082265</v>
      </c>
      <c r="F258">
        <v>8.1000000000000003E-2</v>
      </c>
      <c r="G258">
        <v>25</v>
      </c>
      <c r="H258" t="s">
        <v>11</v>
      </c>
      <c r="I258">
        <v>12</v>
      </c>
      <c r="J258" t="s">
        <v>678</v>
      </c>
    </row>
    <row r="259" spans="1:10" x14ac:dyDescent="0.3">
      <c r="A259">
        <v>258</v>
      </c>
      <c r="B259" t="s">
        <v>679</v>
      </c>
      <c r="C259" t="s">
        <v>11</v>
      </c>
      <c r="D259" t="s">
        <v>680</v>
      </c>
      <c r="E259">
        <v>930544</v>
      </c>
      <c r="F259">
        <v>8.5999999999999993E-2</v>
      </c>
      <c r="G259">
        <v>30</v>
      </c>
      <c r="H259" t="s">
        <v>11</v>
      </c>
      <c r="I259">
        <v>8</v>
      </c>
      <c r="J259" t="s">
        <v>681</v>
      </c>
    </row>
    <row r="260" spans="1:10" x14ac:dyDescent="0.3">
      <c r="A260">
        <v>259</v>
      </c>
      <c r="B260" t="s">
        <v>682</v>
      </c>
      <c r="C260" t="s">
        <v>385</v>
      </c>
      <c r="D260" t="s">
        <v>683</v>
      </c>
      <c r="E260">
        <v>2087104</v>
      </c>
      <c r="F260">
        <v>8.3000000000000004E-2</v>
      </c>
      <c r="G260">
        <v>15</v>
      </c>
      <c r="H260" t="s">
        <v>684</v>
      </c>
      <c r="I260">
        <v>14</v>
      </c>
    </row>
    <row r="261" spans="1:10" x14ac:dyDescent="0.3">
      <c r="A261">
        <v>260</v>
      </c>
      <c r="B261" t="s">
        <v>685</v>
      </c>
      <c r="C261" t="s">
        <v>11</v>
      </c>
      <c r="D261" t="s">
        <v>686</v>
      </c>
      <c r="E261">
        <v>1525740</v>
      </c>
      <c r="F261">
        <v>0.10199999999999999</v>
      </c>
      <c r="G261">
        <v>15</v>
      </c>
      <c r="H261" t="s">
        <v>11</v>
      </c>
      <c r="I261">
        <v>15</v>
      </c>
      <c r="J261" t="s">
        <v>687</v>
      </c>
    </row>
    <row r="262" spans="1:10" x14ac:dyDescent="0.3">
      <c r="A262">
        <v>261</v>
      </c>
      <c r="B262" t="s">
        <v>688</v>
      </c>
      <c r="C262" t="s">
        <v>11</v>
      </c>
      <c r="D262" t="s">
        <v>689</v>
      </c>
      <c r="E262">
        <v>2073455</v>
      </c>
      <c r="F262">
        <v>0.11700000000000001</v>
      </c>
      <c r="G262">
        <v>20</v>
      </c>
      <c r="H262" t="s">
        <v>11</v>
      </c>
      <c r="I262">
        <v>9</v>
      </c>
      <c r="J262" t="s">
        <v>690</v>
      </c>
    </row>
    <row r="263" spans="1:10" x14ac:dyDescent="0.3">
      <c r="A263">
        <v>262</v>
      </c>
      <c r="B263" t="s">
        <v>691</v>
      </c>
      <c r="C263" t="s">
        <v>646</v>
      </c>
      <c r="D263" t="s">
        <v>692</v>
      </c>
      <c r="E263">
        <v>1556964</v>
      </c>
      <c r="F263">
        <v>8.4000000000000005E-2</v>
      </c>
      <c r="G263">
        <v>10</v>
      </c>
      <c r="H263" t="s">
        <v>693</v>
      </c>
      <c r="I263">
        <v>0</v>
      </c>
    </row>
    <row r="264" spans="1:10" x14ac:dyDescent="0.3">
      <c r="A264">
        <v>263</v>
      </c>
      <c r="B264" t="s">
        <v>694</v>
      </c>
      <c r="C264" t="s">
        <v>695</v>
      </c>
      <c r="D264" t="s">
        <v>15</v>
      </c>
      <c r="E264">
        <v>1824691</v>
      </c>
      <c r="F264">
        <v>8.1000000000000003E-2</v>
      </c>
      <c r="G264">
        <v>15</v>
      </c>
      <c r="H264" t="s">
        <v>11</v>
      </c>
      <c r="I264">
        <v>9</v>
      </c>
    </row>
    <row r="265" spans="1:10" x14ac:dyDescent="0.3">
      <c r="A265">
        <v>264</v>
      </c>
      <c r="B265" t="s">
        <v>696</v>
      </c>
      <c r="C265" t="s">
        <v>520</v>
      </c>
      <c r="D265" t="s">
        <v>697</v>
      </c>
      <c r="E265">
        <v>1469674</v>
      </c>
      <c r="F265">
        <v>0.10100000000000001</v>
      </c>
      <c r="G265">
        <v>25</v>
      </c>
      <c r="H265" t="s">
        <v>11</v>
      </c>
      <c r="I265">
        <v>4</v>
      </c>
    </row>
    <row r="266" spans="1:10" x14ac:dyDescent="0.3">
      <c r="A266">
        <v>265</v>
      </c>
      <c r="B266" t="s">
        <v>698</v>
      </c>
      <c r="C266" t="s">
        <v>699</v>
      </c>
      <c r="D266" t="s">
        <v>700</v>
      </c>
      <c r="E266">
        <v>545695</v>
      </c>
      <c r="F266">
        <v>8.6999999999999994E-2</v>
      </c>
      <c r="G266">
        <v>20</v>
      </c>
      <c r="H266" t="s">
        <v>11</v>
      </c>
      <c r="I266">
        <v>7</v>
      </c>
      <c r="J266" t="s">
        <v>701</v>
      </c>
    </row>
    <row r="267" spans="1:10" x14ac:dyDescent="0.3">
      <c r="A267">
        <v>266</v>
      </c>
      <c r="B267" t="s">
        <v>702</v>
      </c>
      <c r="C267" t="s">
        <v>11</v>
      </c>
      <c r="D267" t="s">
        <v>703</v>
      </c>
      <c r="E267">
        <v>1027741</v>
      </c>
      <c r="F267">
        <v>0.10299999999999999</v>
      </c>
      <c r="G267">
        <v>25</v>
      </c>
      <c r="H267" t="s">
        <v>11</v>
      </c>
      <c r="I267">
        <v>12</v>
      </c>
    </row>
    <row r="268" spans="1:10" x14ac:dyDescent="0.3">
      <c r="A268">
        <v>267</v>
      </c>
      <c r="B268" t="s">
        <v>704</v>
      </c>
      <c r="C268" t="s">
        <v>11</v>
      </c>
      <c r="D268" t="s">
        <v>705</v>
      </c>
      <c r="E268">
        <v>1818725</v>
      </c>
      <c r="F268">
        <v>0.109</v>
      </c>
      <c r="G268">
        <v>15</v>
      </c>
      <c r="H268" t="s">
        <v>11</v>
      </c>
      <c r="I268">
        <v>11</v>
      </c>
      <c r="J268" t="s">
        <v>706</v>
      </c>
    </row>
    <row r="269" spans="1:10" x14ac:dyDescent="0.3">
      <c r="A269">
        <v>268</v>
      </c>
      <c r="B269" t="s">
        <v>707</v>
      </c>
      <c r="C269" t="s">
        <v>11</v>
      </c>
      <c r="D269" t="s">
        <v>15</v>
      </c>
      <c r="E269">
        <v>733105</v>
      </c>
      <c r="F269">
        <v>9.8000000000000004E-2</v>
      </c>
      <c r="G269">
        <v>30</v>
      </c>
      <c r="H269" t="s">
        <v>11</v>
      </c>
      <c r="I269">
        <v>10</v>
      </c>
    </row>
    <row r="270" spans="1:10" x14ac:dyDescent="0.3">
      <c r="A270">
        <v>269</v>
      </c>
      <c r="B270" t="s">
        <v>708</v>
      </c>
      <c r="C270" t="s">
        <v>11</v>
      </c>
      <c r="D270" t="s">
        <v>15</v>
      </c>
      <c r="E270">
        <v>1691366</v>
      </c>
      <c r="F270">
        <v>0.109</v>
      </c>
      <c r="G270">
        <v>15</v>
      </c>
      <c r="H270" t="s">
        <v>310</v>
      </c>
      <c r="I270">
        <v>8</v>
      </c>
      <c r="J270" t="s">
        <v>709</v>
      </c>
    </row>
    <row r="271" spans="1:10" x14ac:dyDescent="0.3">
      <c r="A271">
        <v>270</v>
      </c>
      <c r="B271" t="s">
        <v>710</v>
      </c>
      <c r="C271" t="s">
        <v>11</v>
      </c>
      <c r="D271" t="s">
        <v>711</v>
      </c>
      <c r="E271">
        <v>2249901</v>
      </c>
      <c r="F271">
        <v>0.109</v>
      </c>
      <c r="G271">
        <v>15</v>
      </c>
      <c r="H271" t="s">
        <v>11</v>
      </c>
      <c r="I271">
        <v>0</v>
      </c>
      <c r="J271" t="s">
        <v>712</v>
      </c>
    </row>
    <row r="272" spans="1:10" x14ac:dyDescent="0.3">
      <c r="A272">
        <v>271</v>
      </c>
      <c r="B272" t="s">
        <v>713</v>
      </c>
      <c r="C272" t="s">
        <v>11</v>
      </c>
      <c r="D272" t="s">
        <v>714</v>
      </c>
      <c r="E272">
        <v>2459475</v>
      </c>
      <c r="F272">
        <v>8.4000000000000005E-2</v>
      </c>
      <c r="G272">
        <v>10</v>
      </c>
      <c r="H272" t="s">
        <v>11</v>
      </c>
      <c r="I272">
        <v>0</v>
      </c>
    </row>
    <row r="273" spans="1:10" x14ac:dyDescent="0.3">
      <c r="A273">
        <v>272</v>
      </c>
      <c r="B273" t="s">
        <v>715</v>
      </c>
      <c r="C273" t="s">
        <v>88</v>
      </c>
      <c r="D273" t="s">
        <v>15</v>
      </c>
      <c r="E273">
        <v>1221370</v>
      </c>
      <c r="F273">
        <v>0.09</v>
      </c>
      <c r="G273">
        <v>15</v>
      </c>
      <c r="H273" t="s">
        <v>603</v>
      </c>
      <c r="I273">
        <v>9</v>
      </c>
    </row>
    <row r="274" spans="1:10" x14ac:dyDescent="0.3">
      <c r="A274">
        <v>273</v>
      </c>
      <c r="B274" t="s">
        <v>716</v>
      </c>
      <c r="C274" t="s">
        <v>11</v>
      </c>
      <c r="D274" t="s">
        <v>717</v>
      </c>
      <c r="E274">
        <v>2153933</v>
      </c>
      <c r="F274">
        <v>0.104</v>
      </c>
      <c r="G274">
        <v>30</v>
      </c>
      <c r="H274" t="s">
        <v>11</v>
      </c>
      <c r="I274">
        <v>3</v>
      </c>
    </row>
    <row r="275" spans="1:10" x14ac:dyDescent="0.3">
      <c r="A275">
        <v>274</v>
      </c>
      <c r="B275" t="s">
        <v>718</v>
      </c>
      <c r="C275" t="s">
        <v>36</v>
      </c>
      <c r="D275" t="s">
        <v>719</v>
      </c>
      <c r="E275">
        <v>1610949</v>
      </c>
      <c r="F275">
        <v>0.10199999999999999</v>
      </c>
      <c r="G275">
        <v>10</v>
      </c>
      <c r="H275" t="s">
        <v>11</v>
      </c>
      <c r="I275">
        <v>7</v>
      </c>
    </row>
    <row r="276" spans="1:10" x14ac:dyDescent="0.3">
      <c r="A276">
        <v>275</v>
      </c>
      <c r="B276" t="s">
        <v>720</v>
      </c>
      <c r="C276" t="s">
        <v>411</v>
      </c>
      <c r="D276" t="s">
        <v>721</v>
      </c>
      <c r="E276">
        <v>2104411</v>
      </c>
      <c r="F276">
        <v>0.114</v>
      </c>
      <c r="G276">
        <v>30</v>
      </c>
      <c r="H276" t="s">
        <v>722</v>
      </c>
      <c r="I276">
        <v>1</v>
      </c>
      <c r="J276" t="s">
        <v>723</v>
      </c>
    </row>
    <row r="277" spans="1:10" x14ac:dyDescent="0.3">
      <c r="A277">
        <v>276</v>
      </c>
      <c r="B277" t="s">
        <v>724</v>
      </c>
      <c r="C277" t="s">
        <v>160</v>
      </c>
      <c r="D277" t="s">
        <v>725</v>
      </c>
      <c r="E277">
        <v>1246395</v>
      </c>
      <c r="F277">
        <v>8.8999999999999996E-2</v>
      </c>
      <c r="G277">
        <v>15</v>
      </c>
      <c r="H277" t="s">
        <v>11</v>
      </c>
      <c r="I277">
        <v>1</v>
      </c>
      <c r="J277" t="s">
        <v>726</v>
      </c>
    </row>
    <row r="278" spans="1:10" x14ac:dyDescent="0.3">
      <c r="A278">
        <v>277</v>
      </c>
      <c r="B278" t="s">
        <v>727</v>
      </c>
      <c r="C278" t="s">
        <v>11</v>
      </c>
      <c r="D278" t="s">
        <v>728</v>
      </c>
      <c r="E278">
        <v>604768</v>
      </c>
      <c r="F278">
        <v>0.106</v>
      </c>
      <c r="G278">
        <v>15</v>
      </c>
      <c r="H278" t="s">
        <v>11</v>
      </c>
      <c r="I278">
        <v>15</v>
      </c>
      <c r="J278" t="s">
        <v>729</v>
      </c>
    </row>
    <row r="279" spans="1:10" x14ac:dyDescent="0.3">
      <c r="A279">
        <v>278</v>
      </c>
      <c r="B279" t="s">
        <v>730</v>
      </c>
      <c r="C279" t="s">
        <v>580</v>
      </c>
      <c r="D279" t="s">
        <v>15</v>
      </c>
      <c r="E279">
        <v>1803388</v>
      </c>
      <c r="F279">
        <v>0.11</v>
      </c>
      <c r="G279">
        <v>30</v>
      </c>
      <c r="H279" t="s">
        <v>731</v>
      </c>
      <c r="I279">
        <v>2</v>
      </c>
      <c r="J279" t="s">
        <v>732</v>
      </c>
    </row>
    <row r="280" spans="1:10" x14ac:dyDescent="0.3">
      <c r="A280">
        <v>279</v>
      </c>
      <c r="B280" t="s">
        <v>733</v>
      </c>
      <c r="C280" t="s">
        <v>11</v>
      </c>
      <c r="D280" t="s">
        <v>15</v>
      </c>
      <c r="E280">
        <v>1998703</v>
      </c>
      <c r="F280">
        <v>0.11</v>
      </c>
      <c r="G280">
        <v>25</v>
      </c>
      <c r="H280" t="s">
        <v>734</v>
      </c>
      <c r="I280">
        <v>6</v>
      </c>
      <c r="J280" t="s">
        <v>735</v>
      </c>
    </row>
    <row r="281" spans="1:10" x14ac:dyDescent="0.3">
      <c r="A281">
        <v>280</v>
      </c>
      <c r="B281" t="s">
        <v>736</v>
      </c>
      <c r="C281" t="s">
        <v>11</v>
      </c>
      <c r="D281" t="s">
        <v>15</v>
      </c>
      <c r="E281">
        <v>1342717</v>
      </c>
      <c r="F281">
        <v>0.11600000000000001</v>
      </c>
      <c r="G281">
        <v>15</v>
      </c>
      <c r="H281" t="s">
        <v>11</v>
      </c>
      <c r="I281">
        <v>5</v>
      </c>
    </row>
    <row r="282" spans="1:10" x14ac:dyDescent="0.3">
      <c r="A282">
        <v>281</v>
      </c>
      <c r="B282" t="s">
        <v>737</v>
      </c>
      <c r="C282" t="s">
        <v>11</v>
      </c>
      <c r="D282" t="s">
        <v>738</v>
      </c>
      <c r="E282">
        <v>1985753</v>
      </c>
      <c r="F282">
        <v>8.1000000000000003E-2</v>
      </c>
      <c r="G282">
        <v>20</v>
      </c>
      <c r="H282" t="s">
        <v>11</v>
      </c>
      <c r="I282">
        <v>8</v>
      </c>
    </row>
    <row r="283" spans="1:10" x14ac:dyDescent="0.3">
      <c r="A283">
        <v>282</v>
      </c>
      <c r="B283" t="s">
        <v>739</v>
      </c>
      <c r="C283" t="s">
        <v>11</v>
      </c>
      <c r="D283" t="s">
        <v>740</v>
      </c>
      <c r="E283">
        <v>1586683</v>
      </c>
      <c r="F283">
        <v>0.106</v>
      </c>
      <c r="G283">
        <v>25</v>
      </c>
      <c r="H283" t="s">
        <v>11</v>
      </c>
      <c r="I283">
        <v>4</v>
      </c>
    </row>
    <row r="284" spans="1:10" x14ac:dyDescent="0.3">
      <c r="A284">
        <v>283</v>
      </c>
      <c r="B284" t="s">
        <v>741</v>
      </c>
      <c r="C284" t="s">
        <v>36</v>
      </c>
      <c r="D284" t="s">
        <v>742</v>
      </c>
      <c r="E284">
        <v>1810070</v>
      </c>
      <c r="F284">
        <v>0.109</v>
      </c>
      <c r="G284">
        <v>15</v>
      </c>
      <c r="H284" t="s">
        <v>743</v>
      </c>
      <c r="I284">
        <v>12</v>
      </c>
    </row>
    <row r="285" spans="1:10" x14ac:dyDescent="0.3">
      <c r="A285">
        <v>284</v>
      </c>
      <c r="B285" t="s">
        <v>744</v>
      </c>
      <c r="C285" t="s">
        <v>11</v>
      </c>
      <c r="D285" t="s">
        <v>745</v>
      </c>
      <c r="E285">
        <v>1503466</v>
      </c>
      <c r="F285">
        <v>0.11</v>
      </c>
      <c r="G285">
        <v>25</v>
      </c>
      <c r="H285" t="s">
        <v>11</v>
      </c>
      <c r="I285">
        <v>5</v>
      </c>
      <c r="J285" t="s">
        <v>746</v>
      </c>
    </row>
    <row r="286" spans="1:10" x14ac:dyDescent="0.3">
      <c r="A286">
        <v>285</v>
      </c>
      <c r="B286" t="s">
        <v>747</v>
      </c>
      <c r="C286" t="s">
        <v>468</v>
      </c>
      <c r="D286" t="s">
        <v>748</v>
      </c>
      <c r="E286">
        <v>1496432</v>
      </c>
      <c r="F286">
        <v>9.9000000000000005E-2</v>
      </c>
      <c r="G286">
        <v>10</v>
      </c>
      <c r="H286" t="s">
        <v>749</v>
      </c>
      <c r="I286">
        <v>13</v>
      </c>
      <c r="J286" t="s">
        <v>541</v>
      </c>
    </row>
    <row r="287" spans="1:10" x14ac:dyDescent="0.3">
      <c r="A287">
        <v>286</v>
      </c>
      <c r="B287" t="s">
        <v>750</v>
      </c>
      <c r="C287" t="s">
        <v>468</v>
      </c>
      <c r="D287" t="s">
        <v>15</v>
      </c>
      <c r="E287">
        <v>2482180</v>
      </c>
      <c r="F287">
        <v>0.08</v>
      </c>
      <c r="G287">
        <v>10</v>
      </c>
      <c r="H287" t="s">
        <v>11</v>
      </c>
      <c r="I287">
        <v>11</v>
      </c>
      <c r="J287" t="s">
        <v>751</v>
      </c>
    </row>
    <row r="288" spans="1:10" x14ac:dyDescent="0.3">
      <c r="A288">
        <v>287</v>
      </c>
      <c r="B288" t="s">
        <v>752</v>
      </c>
      <c r="C288" t="s">
        <v>11</v>
      </c>
      <c r="D288" t="s">
        <v>753</v>
      </c>
      <c r="E288">
        <v>1762698</v>
      </c>
      <c r="F288">
        <v>0.11700000000000001</v>
      </c>
      <c r="G288">
        <v>15</v>
      </c>
      <c r="H288" t="s">
        <v>11</v>
      </c>
      <c r="I288">
        <v>7</v>
      </c>
      <c r="J288" t="s">
        <v>754</v>
      </c>
    </row>
    <row r="289" spans="1:10" x14ac:dyDescent="0.3">
      <c r="A289">
        <v>288</v>
      </c>
      <c r="B289" t="s">
        <v>755</v>
      </c>
      <c r="C289" t="s">
        <v>468</v>
      </c>
      <c r="D289" t="s">
        <v>756</v>
      </c>
      <c r="E289">
        <v>700863</v>
      </c>
      <c r="F289">
        <v>8.7999999999999995E-2</v>
      </c>
      <c r="G289">
        <v>15</v>
      </c>
      <c r="H289" t="s">
        <v>11</v>
      </c>
      <c r="I289">
        <v>13</v>
      </c>
      <c r="J289" t="s">
        <v>757</v>
      </c>
    </row>
    <row r="290" spans="1:10" x14ac:dyDescent="0.3">
      <c r="A290">
        <v>289</v>
      </c>
      <c r="B290" t="s">
        <v>758</v>
      </c>
      <c r="C290" t="s">
        <v>120</v>
      </c>
      <c r="D290" t="s">
        <v>759</v>
      </c>
      <c r="E290">
        <v>2185354</v>
      </c>
      <c r="F290">
        <v>9.7000000000000003E-2</v>
      </c>
      <c r="G290">
        <v>30</v>
      </c>
      <c r="H290" t="s">
        <v>760</v>
      </c>
      <c r="I290">
        <v>15</v>
      </c>
    </row>
    <row r="291" spans="1:10" x14ac:dyDescent="0.3">
      <c r="A291">
        <v>290</v>
      </c>
      <c r="B291" t="s">
        <v>761</v>
      </c>
      <c r="C291" t="s">
        <v>141</v>
      </c>
      <c r="D291" t="s">
        <v>762</v>
      </c>
      <c r="E291">
        <v>1037868</v>
      </c>
      <c r="F291">
        <v>0.106</v>
      </c>
      <c r="G291">
        <v>25</v>
      </c>
      <c r="H291" t="s">
        <v>11</v>
      </c>
      <c r="I291">
        <v>6</v>
      </c>
      <c r="J291" t="s">
        <v>763</v>
      </c>
    </row>
    <row r="292" spans="1:10" x14ac:dyDescent="0.3">
      <c r="A292">
        <v>291</v>
      </c>
      <c r="B292" t="s">
        <v>764</v>
      </c>
      <c r="C292" t="s">
        <v>11</v>
      </c>
      <c r="D292" t="s">
        <v>15</v>
      </c>
      <c r="E292">
        <v>1105650</v>
      </c>
      <c r="F292">
        <v>0.106</v>
      </c>
      <c r="G292">
        <v>25</v>
      </c>
      <c r="H292" t="s">
        <v>11</v>
      </c>
      <c r="I292">
        <v>6</v>
      </c>
    </row>
    <row r="293" spans="1:10" x14ac:dyDescent="0.3">
      <c r="A293">
        <v>292</v>
      </c>
      <c r="B293" t="s">
        <v>765</v>
      </c>
      <c r="C293" t="s">
        <v>766</v>
      </c>
      <c r="D293" t="s">
        <v>767</v>
      </c>
      <c r="E293">
        <v>2437786</v>
      </c>
      <c r="F293">
        <v>0.108</v>
      </c>
      <c r="G293">
        <v>30</v>
      </c>
      <c r="H293" t="s">
        <v>101</v>
      </c>
      <c r="I293">
        <v>12</v>
      </c>
      <c r="J293" t="s">
        <v>768</v>
      </c>
    </row>
    <row r="294" spans="1:10" x14ac:dyDescent="0.3">
      <c r="A294">
        <v>293</v>
      </c>
      <c r="B294" t="s">
        <v>769</v>
      </c>
      <c r="C294" t="s">
        <v>262</v>
      </c>
      <c r="D294" t="s">
        <v>15</v>
      </c>
      <c r="E294">
        <v>1591985</v>
      </c>
      <c r="F294">
        <v>8.1000000000000003E-2</v>
      </c>
      <c r="G294">
        <v>30</v>
      </c>
      <c r="H294" t="s">
        <v>11</v>
      </c>
      <c r="I294">
        <v>5</v>
      </c>
    </row>
    <row r="295" spans="1:10" x14ac:dyDescent="0.3">
      <c r="A295">
        <v>294</v>
      </c>
      <c r="B295" t="s">
        <v>770</v>
      </c>
      <c r="C295" t="s">
        <v>533</v>
      </c>
      <c r="D295" t="s">
        <v>771</v>
      </c>
      <c r="E295">
        <v>1375687</v>
      </c>
      <c r="F295">
        <v>0.115</v>
      </c>
      <c r="G295">
        <v>30</v>
      </c>
      <c r="H295" t="s">
        <v>772</v>
      </c>
      <c r="I295">
        <v>2</v>
      </c>
      <c r="J295" t="s">
        <v>773</v>
      </c>
    </row>
    <row r="296" spans="1:10" x14ac:dyDescent="0.3">
      <c r="A296">
        <v>295</v>
      </c>
      <c r="B296" t="s">
        <v>774</v>
      </c>
      <c r="C296" t="s">
        <v>11</v>
      </c>
      <c r="D296" t="s">
        <v>775</v>
      </c>
      <c r="E296">
        <v>2104356</v>
      </c>
      <c r="F296">
        <v>8.8999999999999996E-2</v>
      </c>
      <c r="G296">
        <v>30</v>
      </c>
      <c r="H296" t="s">
        <v>11</v>
      </c>
      <c r="I296">
        <v>2</v>
      </c>
      <c r="J296" t="s">
        <v>776</v>
      </c>
    </row>
    <row r="297" spans="1:10" x14ac:dyDescent="0.3">
      <c r="A297">
        <v>296</v>
      </c>
      <c r="B297" t="s">
        <v>777</v>
      </c>
      <c r="C297" t="s">
        <v>11</v>
      </c>
      <c r="D297" t="s">
        <v>778</v>
      </c>
      <c r="E297">
        <v>893548</v>
      </c>
      <c r="F297">
        <v>0.112</v>
      </c>
      <c r="G297">
        <v>30</v>
      </c>
      <c r="H297" t="s">
        <v>779</v>
      </c>
      <c r="I297">
        <v>5</v>
      </c>
      <c r="J297" t="s">
        <v>780</v>
      </c>
    </row>
    <row r="298" spans="1:10" x14ac:dyDescent="0.3">
      <c r="A298">
        <v>297</v>
      </c>
      <c r="B298" t="s">
        <v>781</v>
      </c>
      <c r="C298" t="s">
        <v>11</v>
      </c>
      <c r="D298" t="s">
        <v>782</v>
      </c>
      <c r="E298">
        <v>1274168</v>
      </c>
      <c r="F298">
        <v>8.3000000000000004E-2</v>
      </c>
      <c r="G298">
        <v>20</v>
      </c>
      <c r="H298" t="s">
        <v>11</v>
      </c>
      <c r="I298">
        <v>2</v>
      </c>
    </row>
    <row r="299" spans="1:10" x14ac:dyDescent="0.3">
      <c r="A299">
        <v>298</v>
      </c>
      <c r="B299" t="s">
        <v>783</v>
      </c>
      <c r="C299" t="s">
        <v>11</v>
      </c>
      <c r="D299" t="s">
        <v>784</v>
      </c>
      <c r="E299">
        <v>1731849</v>
      </c>
      <c r="F299">
        <v>0.08</v>
      </c>
      <c r="G299">
        <v>15</v>
      </c>
      <c r="H299" t="s">
        <v>785</v>
      </c>
      <c r="I299">
        <v>10</v>
      </c>
    </row>
    <row r="300" spans="1:10" x14ac:dyDescent="0.3">
      <c r="A300">
        <v>299</v>
      </c>
      <c r="B300" t="s">
        <v>786</v>
      </c>
      <c r="C300" t="s">
        <v>11</v>
      </c>
      <c r="D300" t="s">
        <v>787</v>
      </c>
      <c r="E300">
        <v>835828</v>
      </c>
      <c r="F300">
        <v>9.0999999999999998E-2</v>
      </c>
      <c r="G300">
        <v>15</v>
      </c>
      <c r="H300" t="s">
        <v>11</v>
      </c>
      <c r="I300">
        <v>5</v>
      </c>
    </row>
    <row r="301" spans="1:10" x14ac:dyDescent="0.3">
      <c r="A301">
        <v>300</v>
      </c>
      <c r="B301" t="s">
        <v>788</v>
      </c>
      <c r="C301" t="s">
        <v>141</v>
      </c>
      <c r="D301" t="s">
        <v>15</v>
      </c>
      <c r="E301">
        <v>1098858</v>
      </c>
      <c r="F301">
        <v>9.0999999999999998E-2</v>
      </c>
      <c r="G301">
        <v>30</v>
      </c>
      <c r="H301" t="s">
        <v>789</v>
      </c>
      <c r="I301">
        <v>15</v>
      </c>
    </row>
    <row r="302" spans="1:10" x14ac:dyDescent="0.3">
      <c r="A302">
        <v>301</v>
      </c>
      <c r="B302" t="s">
        <v>790</v>
      </c>
      <c r="C302" t="s">
        <v>11</v>
      </c>
      <c r="D302" t="s">
        <v>791</v>
      </c>
      <c r="E302">
        <v>2206680</v>
      </c>
      <c r="F302">
        <v>0.10100000000000001</v>
      </c>
      <c r="G302">
        <v>15</v>
      </c>
      <c r="H302" t="s">
        <v>11</v>
      </c>
      <c r="I302">
        <v>11</v>
      </c>
    </row>
    <row r="303" spans="1:10" x14ac:dyDescent="0.3">
      <c r="A303">
        <v>302</v>
      </c>
      <c r="B303" t="s">
        <v>792</v>
      </c>
      <c r="C303" t="s">
        <v>11</v>
      </c>
      <c r="D303" t="s">
        <v>15</v>
      </c>
      <c r="E303">
        <v>2171812</v>
      </c>
      <c r="F303">
        <v>0.11700000000000001</v>
      </c>
      <c r="G303">
        <v>20</v>
      </c>
      <c r="H303" t="s">
        <v>11</v>
      </c>
      <c r="I303">
        <v>12</v>
      </c>
      <c r="J303" t="s">
        <v>793</v>
      </c>
    </row>
    <row r="304" spans="1:10" x14ac:dyDescent="0.3">
      <c r="A304">
        <v>303</v>
      </c>
      <c r="B304" t="s">
        <v>794</v>
      </c>
      <c r="C304" t="s">
        <v>217</v>
      </c>
      <c r="D304" t="s">
        <v>795</v>
      </c>
      <c r="E304">
        <v>512792</v>
      </c>
      <c r="F304">
        <v>0.08</v>
      </c>
      <c r="G304">
        <v>20</v>
      </c>
      <c r="H304" t="s">
        <v>796</v>
      </c>
      <c r="I304">
        <v>4</v>
      </c>
      <c r="J304" t="s">
        <v>797</v>
      </c>
    </row>
    <row r="305" spans="1:10" x14ac:dyDescent="0.3">
      <c r="A305">
        <v>304</v>
      </c>
      <c r="B305" t="s">
        <v>798</v>
      </c>
      <c r="C305" t="s">
        <v>11</v>
      </c>
      <c r="D305" t="s">
        <v>799</v>
      </c>
      <c r="E305">
        <v>1251685</v>
      </c>
      <c r="F305">
        <v>0.105</v>
      </c>
      <c r="G305">
        <v>30</v>
      </c>
      <c r="H305" t="s">
        <v>11</v>
      </c>
      <c r="I305">
        <v>13</v>
      </c>
    </row>
    <row r="306" spans="1:10" x14ac:dyDescent="0.3">
      <c r="A306">
        <v>305</v>
      </c>
      <c r="B306" t="s">
        <v>800</v>
      </c>
      <c r="C306" t="s">
        <v>11</v>
      </c>
      <c r="D306" t="s">
        <v>801</v>
      </c>
      <c r="E306">
        <v>1899701</v>
      </c>
      <c r="F306">
        <v>0.107</v>
      </c>
      <c r="G306">
        <v>15</v>
      </c>
      <c r="H306" t="s">
        <v>11</v>
      </c>
      <c r="I306">
        <v>2</v>
      </c>
    </row>
    <row r="307" spans="1:10" x14ac:dyDescent="0.3">
      <c r="A307">
        <v>306</v>
      </c>
      <c r="B307" t="s">
        <v>802</v>
      </c>
      <c r="C307" t="s">
        <v>566</v>
      </c>
      <c r="D307" t="s">
        <v>803</v>
      </c>
      <c r="E307">
        <v>1112266</v>
      </c>
      <c r="F307">
        <v>0.111</v>
      </c>
      <c r="G307">
        <v>15</v>
      </c>
      <c r="H307" t="s">
        <v>11</v>
      </c>
      <c r="I307">
        <v>14</v>
      </c>
    </row>
    <row r="308" spans="1:10" x14ac:dyDescent="0.3">
      <c r="A308">
        <v>307</v>
      </c>
      <c r="B308" t="s">
        <v>804</v>
      </c>
      <c r="C308" t="s">
        <v>11</v>
      </c>
      <c r="D308" t="s">
        <v>15</v>
      </c>
      <c r="E308">
        <v>1845768</v>
      </c>
      <c r="F308">
        <v>8.4000000000000005E-2</v>
      </c>
      <c r="G308">
        <v>25</v>
      </c>
      <c r="H308" t="s">
        <v>11</v>
      </c>
      <c r="I308">
        <v>8</v>
      </c>
      <c r="J308" t="s">
        <v>805</v>
      </c>
    </row>
    <row r="309" spans="1:10" x14ac:dyDescent="0.3">
      <c r="A309">
        <v>308</v>
      </c>
      <c r="B309" t="s">
        <v>806</v>
      </c>
      <c r="C309" t="s">
        <v>11</v>
      </c>
      <c r="D309" t="s">
        <v>15</v>
      </c>
      <c r="E309">
        <v>2065343</v>
      </c>
      <c r="F309">
        <v>0.106</v>
      </c>
      <c r="G309">
        <v>25</v>
      </c>
      <c r="H309" t="s">
        <v>235</v>
      </c>
      <c r="I309">
        <v>2</v>
      </c>
    </row>
    <row r="310" spans="1:10" x14ac:dyDescent="0.3">
      <c r="A310">
        <v>309</v>
      </c>
      <c r="B310" t="s">
        <v>807</v>
      </c>
      <c r="C310" t="s">
        <v>11</v>
      </c>
      <c r="D310" t="s">
        <v>808</v>
      </c>
      <c r="E310">
        <v>691310</v>
      </c>
      <c r="F310">
        <v>8.5999999999999993E-2</v>
      </c>
      <c r="G310">
        <v>30</v>
      </c>
      <c r="H310" t="s">
        <v>11</v>
      </c>
      <c r="I310">
        <v>5</v>
      </c>
    </row>
    <row r="311" spans="1:10" x14ac:dyDescent="0.3">
      <c r="A311">
        <v>310</v>
      </c>
      <c r="B311" t="s">
        <v>809</v>
      </c>
      <c r="C311" t="s">
        <v>11</v>
      </c>
      <c r="D311" t="s">
        <v>810</v>
      </c>
      <c r="E311">
        <v>1832239</v>
      </c>
      <c r="F311">
        <v>8.6999999999999994E-2</v>
      </c>
      <c r="G311">
        <v>15</v>
      </c>
      <c r="H311" t="s">
        <v>11</v>
      </c>
      <c r="I311">
        <v>4</v>
      </c>
      <c r="J311" t="s">
        <v>811</v>
      </c>
    </row>
    <row r="312" spans="1:10" x14ac:dyDescent="0.3">
      <c r="A312">
        <v>311</v>
      </c>
      <c r="B312" t="s">
        <v>812</v>
      </c>
      <c r="C312" t="s">
        <v>11</v>
      </c>
      <c r="D312" t="s">
        <v>813</v>
      </c>
      <c r="E312">
        <v>2067118</v>
      </c>
      <c r="F312">
        <v>0.104</v>
      </c>
      <c r="G312">
        <v>10</v>
      </c>
      <c r="H312" t="s">
        <v>11</v>
      </c>
      <c r="I312">
        <v>6</v>
      </c>
    </row>
    <row r="313" spans="1:10" x14ac:dyDescent="0.3">
      <c r="A313">
        <v>312</v>
      </c>
      <c r="B313" t="s">
        <v>814</v>
      </c>
      <c r="C313" t="s">
        <v>11</v>
      </c>
      <c r="D313" t="s">
        <v>815</v>
      </c>
      <c r="E313">
        <v>1608129</v>
      </c>
      <c r="F313">
        <v>8.7999999999999995E-2</v>
      </c>
      <c r="G313">
        <v>15</v>
      </c>
      <c r="H313" t="s">
        <v>772</v>
      </c>
      <c r="I313">
        <v>7</v>
      </c>
    </row>
    <row r="314" spans="1:10" x14ac:dyDescent="0.3">
      <c r="A314">
        <v>313</v>
      </c>
      <c r="B314" t="s">
        <v>816</v>
      </c>
      <c r="C314" t="s">
        <v>817</v>
      </c>
      <c r="D314" t="s">
        <v>818</v>
      </c>
      <c r="E314">
        <v>1680685</v>
      </c>
      <c r="F314">
        <v>0.12</v>
      </c>
      <c r="G314">
        <v>25</v>
      </c>
      <c r="H314" t="s">
        <v>11</v>
      </c>
      <c r="I314">
        <v>2</v>
      </c>
    </row>
    <row r="315" spans="1:10" x14ac:dyDescent="0.3">
      <c r="A315">
        <v>314</v>
      </c>
      <c r="B315" t="s">
        <v>819</v>
      </c>
      <c r="C315" t="s">
        <v>533</v>
      </c>
      <c r="D315" t="s">
        <v>15</v>
      </c>
      <c r="E315">
        <v>1897577</v>
      </c>
      <c r="F315">
        <v>0.11700000000000001</v>
      </c>
      <c r="G315">
        <v>15</v>
      </c>
      <c r="H315" t="s">
        <v>11</v>
      </c>
      <c r="I315">
        <v>4</v>
      </c>
      <c r="J315" t="s">
        <v>820</v>
      </c>
    </row>
    <row r="316" spans="1:10" x14ac:dyDescent="0.3">
      <c r="A316">
        <v>315</v>
      </c>
      <c r="B316" t="s">
        <v>821</v>
      </c>
      <c r="C316" t="s">
        <v>11</v>
      </c>
      <c r="D316" t="s">
        <v>822</v>
      </c>
      <c r="E316">
        <v>530223</v>
      </c>
      <c r="F316">
        <v>0.115</v>
      </c>
      <c r="G316">
        <v>15</v>
      </c>
      <c r="H316" t="s">
        <v>11</v>
      </c>
      <c r="I316">
        <v>0</v>
      </c>
    </row>
    <row r="317" spans="1:10" x14ac:dyDescent="0.3">
      <c r="A317">
        <v>316</v>
      </c>
      <c r="B317" t="s">
        <v>823</v>
      </c>
      <c r="C317" t="s">
        <v>11</v>
      </c>
      <c r="D317" t="s">
        <v>824</v>
      </c>
      <c r="E317">
        <v>1285412</v>
      </c>
      <c r="F317">
        <v>0.109</v>
      </c>
      <c r="G317">
        <v>20</v>
      </c>
      <c r="H317" t="s">
        <v>825</v>
      </c>
      <c r="I317">
        <v>8</v>
      </c>
      <c r="J317" t="s">
        <v>826</v>
      </c>
    </row>
    <row r="318" spans="1:10" x14ac:dyDescent="0.3">
      <c r="A318">
        <v>317</v>
      </c>
      <c r="B318" t="s">
        <v>827</v>
      </c>
      <c r="C318" t="s">
        <v>11</v>
      </c>
      <c r="D318" t="s">
        <v>828</v>
      </c>
      <c r="E318">
        <v>1224177</v>
      </c>
      <c r="F318">
        <v>0.11899999999999999</v>
      </c>
      <c r="G318">
        <v>10</v>
      </c>
      <c r="H318" t="s">
        <v>11</v>
      </c>
      <c r="I318">
        <v>14</v>
      </c>
    </row>
    <row r="319" spans="1:10" x14ac:dyDescent="0.3">
      <c r="A319">
        <v>318</v>
      </c>
      <c r="B319" t="s">
        <v>829</v>
      </c>
      <c r="C319" t="s">
        <v>11</v>
      </c>
      <c r="D319" t="s">
        <v>15</v>
      </c>
      <c r="E319">
        <v>1467176</v>
      </c>
      <c r="F319">
        <v>9.7000000000000003E-2</v>
      </c>
      <c r="G319">
        <v>15</v>
      </c>
      <c r="H319" t="s">
        <v>11</v>
      </c>
      <c r="I319">
        <v>4</v>
      </c>
      <c r="J319" t="s">
        <v>830</v>
      </c>
    </row>
    <row r="320" spans="1:10" x14ac:dyDescent="0.3">
      <c r="A320">
        <v>319</v>
      </c>
      <c r="B320" t="s">
        <v>831</v>
      </c>
      <c r="C320" t="s">
        <v>11</v>
      </c>
      <c r="D320" t="s">
        <v>832</v>
      </c>
      <c r="E320">
        <v>2192929</v>
      </c>
      <c r="F320">
        <v>0.114</v>
      </c>
      <c r="G320">
        <v>15</v>
      </c>
      <c r="H320" t="s">
        <v>11</v>
      </c>
      <c r="I320">
        <v>10</v>
      </c>
      <c r="J320" t="s">
        <v>833</v>
      </c>
    </row>
    <row r="321" spans="1:10" x14ac:dyDescent="0.3">
      <c r="A321">
        <v>320</v>
      </c>
      <c r="B321" t="s">
        <v>834</v>
      </c>
      <c r="C321" t="s">
        <v>11</v>
      </c>
      <c r="D321" t="s">
        <v>835</v>
      </c>
      <c r="E321">
        <v>826249</v>
      </c>
      <c r="F321">
        <v>0.11</v>
      </c>
      <c r="G321">
        <v>30</v>
      </c>
      <c r="H321" t="s">
        <v>836</v>
      </c>
      <c r="I321">
        <v>14</v>
      </c>
    </row>
    <row r="322" spans="1:10" x14ac:dyDescent="0.3">
      <c r="A322">
        <v>321</v>
      </c>
      <c r="B322" t="s">
        <v>837</v>
      </c>
      <c r="C322" t="s">
        <v>11</v>
      </c>
      <c r="D322" t="s">
        <v>838</v>
      </c>
      <c r="E322">
        <v>800413</v>
      </c>
      <c r="F322">
        <v>0.109</v>
      </c>
      <c r="G322">
        <v>20</v>
      </c>
      <c r="H322" t="s">
        <v>11</v>
      </c>
      <c r="I322">
        <v>1</v>
      </c>
      <c r="J322" t="s">
        <v>839</v>
      </c>
    </row>
    <row r="323" spans="1:10" x14ac:dyDescent="0.3">
      <c r="A323">
        <v>322</v>
      </c>
      <c r="B323" t="s">
        <v>840</v>
      </c>
      <c r="C323" t="s">
        <v>11</v>
      </c>
      <c r="D323" t="s">
        <v>841</v>
      </c>
      <c r="E323">
        <v>1284684</v>
      </c>
      <c r="F323">
        <v>0.109</v>
      </c>
      <c r="G323">
        <v>15</v>
      </c>
      <c r="H323" t="s">
        <v>11</v>
      </c>
      <c r="I323">
        <v>4</v>
      </c>
    </row>
    <row r="324" spans="1:10" x14ac:dyDescent="0.3">
      <c r="A324">
        <v>323</v>
      </c>
      <c r="B324" t="s">
        <v>842</v>
      </c>
      <c r="C324" t="s">
        <v>559</v>
      </c>
      <c r="D324" t="s">
        <v>843</v>
      </c>
      <c r="E324">
        <v>2430346</v>
      </c>
      <c r="F324">
        <v>0.109</v>
      </c>
      <c r="G324">
        <v>30</v>
      </c>
      <c r="H324" t="s">
        <v>27</v>
      </c>
      <c r="I324">
        <v>12</v>
      </c>
      <c r="J324" t="s">
        <v>844</v>
      </c>
    </row>
    <row r="325" spans="1:10" x14ac:dyDescent="0.3">
      <c r="A325">
        <v>324</v>
      </c>
      <c r="B325" t="s">
        <v>845</v>
      </c>
      <c r="C325" t="s">
        <v>11</v>
      </c>
      <c r="D325" t="s">
        <v>15</v>
      </c>
      <c r="E325">
        <v>1355831</v>
      </c>
      <c r="F325">
        <v>0.12</v>
      </c>
      <c r="G325">
        <v>10</v>
      </c>
      <c r="H325" t="s">
        <v>11</v>
      </c>
      <c r="I325">
        <v>0</v>
      </c>
      <c r="J325" t="s">
        <v>846</v>
      </c>
    </row>
    <row r="326" spans="1:10" x14ac:dyDescent="0.3">
      <c r="A326">
        <v>325</v>
      </c>
      <c r="B326" t="s">
        <v>847</v>
      </c>
      <c r="C326" t="s">
        <v>817</v>
      </c>
      <c r="D326" t="s">
        <v>848</v>
      </c>
      <c r="E326">
        <v>2038572</v>
      </c>
      <c r="F326">
        <v>8.8999999999999996E-2</v>
      </c>
      <c r="G326">
        <v>15</v>
      </c>
      <c r="H326" t="s">
        <v>549</v>
      </c>
      <c r="I326">
        <v>2</v>
      </c>
      <c r="J326" t="s">
        <v>849</v>
      </c>
    </row>
    <row r="327" spans="1:10" x14ac:dyDescent="0.3">
      <c r="A327">
        <v>326</v>
      </c>
      <c r="B327" t="s">
        <v>850</v>
      </c>
      <c r="C327" t="s">
        <v>11</v>
      </c>
      <c r="D327" t="s">
        <v>15</v>
      </c>
      <c r="E327">
        <v>984867</v>
      </c>
      <c r="F327">
        <v>9.4E-2</v>
      </c>
      <c r="G327">
        <v>25</v>
      </c>
      <c r="H327" t="s">
        <v>11</v>
      </c>
      <c r="I327">
        <v>7</v>
      </c>
      <c r="J327" t="s">
        <v>851</v>
      </c>
    </row>
    <row r="328" spans="1:10" x14ac:dyDescent="0.3">
      <c r="A328">
        <v>327</v>
      </c>
      <c r="B328" t="s">
        <v>852</v>
      </c>
      <c r="C328" t="s">
        <v>11</v>
      </c>
      <c r="D328" t="s">
        <v>853</v>
      </c>
      <c r="E328">
        <v>1557525</v>
      </c>
      <c r="F328">
        <v>9.0999999999999998E-2</v>
      </c>
      <c r="G328">
        <v>20</v>
      </c>
      <c r="H328" t="s">
        <v>11</v>
      </c>
      <c r="I328">
        <v>11</v>
      </c>
      <c r="J328" t="s">
        <v>854</v>
      </c>
    </row>
    <row r="329" spans="1:10" x14ac:dyDescent="0.3">
      <c r="A329">
        <v>328</v>
      </c>
      <c r="B329" t="s">
        <v>855</v>
      </c>
      <c r="C329" t="s">
        <v>156</v>
      </c>
      <c r="D329" t="s">
        <v>15</v>
      </c>
      <c r="E329">
        <v>1701561</v>
      </c>
      <c r="F329">
        <v>0.108</v>
      </c>
      <c r="G329">
        <v>20</v>
      </c>
      <c r="H329" t="s">
        <v>856</v>
      </c>
      <c r="I329">
        <v>1</v>
      </c>
      <c r="J329" t="s">
        <v>857</v>
      </c>
    </row>
    <row r="330" spans="1:10" x14ac:dyDescent="0.3">
      <c r="A330">
        <v>329</v>
      </c>
      <c r="B330" t="s">
        <v>858</v>
      </c>
      <c r="C330" t="s">
        <v>699</v>
      </c>
      <c r="D330" t="s">
        <v>859</v>
      </c>
      <c r="E330">
        <v>1268297</v>
      </c>
      <c r="F330">
        <v>8.5000000000000006E-2</v>
      </c>
      <c r="G330">
        <v>20</v>
      </c>
      <c r="H330" t="s">
        <v>11</v>
      </c>
      <c r="I330">
        <v>5</v>
      </c>
    </row>
    <row r="331" spans="1:10" x14ac:dyDescent="0.3">
      <c r="A331">
        <v>330</v>
      </c>
      <c r="B331" t="s">
        <v>860</v>
      </c>
      <c r="C331" t="s">
        <v>11</v>
      </c>
      <c r="D331" t="s">
        <v>861</v>
      </c>
      <c r="E331">
        <v>717518</v>
      </c>
      <c r="F331">
        <v>9.5000000000000001E-2</v>
      </c>
      <c r="G331">
        <v>10</v>
      </c>
      <c r="H331" t="s">
        <v>11</v>
      </c>
      <c r="I331">
        <v>15</v>
      </c>
      <c r="J331" t="s">
        <v>862</v>
      </c>
    </row>
    <row r="332" spans="1:10" x14ac:dyDescent="0.3">
      <c r="A332">
        <v>331</v>
      </c>
      <c r="B332" t="s">
        <v>863</v>
      </c>
      <c r="C332" t="s">
        <v>11</v>
      </c>
      <c r="D332" t="s">
        <v>15</v>
      </c>
      <c r="E332">
        <v>1638619</v>
      </c>
      <c r="F332">
        <v>9.7000000000000003E-2</v>
      </c>
      <c r="G332">
        <v>30</v>
      </c>
      <c r="H332" t="s">
        <v>52</v>
      </c>
      <c r="I332">
        <v>13</v>
      </c>
    </row>
    <row r="333" spans="1:10" x14ac:dyDescent="0.3">
      <c r="A333">
        <v>332</v>
      </c>
      <c r="B333" t="s">
        <v>864</v>
      </c>
      <c r="C333" t="s">
        <v>865</v>
      </c>
      <c r="D333" t="s">
        <v>866</v>
      </c>
      <c r="E333">
        <v>2107236</v>
      </c>
      <c r="F333">
        <v>9.0999999999999998E-2</v>
      </c>
      <c r="G333">
        <v>10</v>
      </c>
      <c r="H333" t="s">
        <v>11</v>
      </c>
      <c r="I333">
        <v>15</v>
      </c>
      <c r="J333" t="s">
        <v>867</v>
      </c>
    </row>
    <row r="334" spans="1:10" x14ac:dyDescent="0.3">
      <c r="A334">
        <v>333</v>
      </c>
      <c r="B334" t="s">
        <v>868</v>
      </c>
      <c r="C334" t="s">
        <v>156</v>
      </c>
      <c r="D334" t="s">
        <v>869</v>
      </c>
      <c r="E334">
        <v>1071511</v>
      </c>
      <c r="F334">
        <v>0.09</v>
      </c>
      <c r="G334">
        <v>30</v>
      </c>
      <c r="H334" t="s">
        <v>11</v>
      </c>
      <c r="I334">
        <v>10</v>
      </c>
    </row>
    <row r="335" spans="1:10" x14ac:dyDescent="0.3">
      <c r="A335">
        <v>334</v>
      </c>
      <c r="B335" t="s">
        <v>870</v>
      </c>
      <c r="C335" t="s">
        <v>11</v>
      </c>
      <c r="D335" t="s">
        <v>871</v>
      </c>
      <c r="E335">
        <v>1339311</v>
      </c>
      <c r="F335">
        <v>0.109</v>
      </c>
      <c r="G335">
        <v>20</v>
      </c>
      <c r="H335" t="s">
        <v>11</v>
      </c>
      <c r="I335">
        <v>13</v>
      </c>
      <c r="J335" t="s">
        <v>872</v>
      </c>
    </row>
    <row r="336" spans="1:10" x14ac:dyDescent="0.3">
      <c r="A336">
        <v>335</v>
      </c>
      <c r="B336" t="s">
        <v>873</v>
      </c>
      <c r="C336" t="s">
        <v>646</v>
      </c>
      <c r="D336" t="s">
        <v>874</v>
      </c>
      <c r="E336">
        <v>2475836</v>
      </c>
      <c r="F336">
        <v>8.1000000000000003E-2</v>
      </c>
      <c r="G336">
        <v>30</v>
      </c>
      <c r="H336" t="s">
        <v>11</v>
      </c>
      <c r="I336">
        <v>3</v>
      </c>
    </row>
    <row r="337" spans="1:10" x14ac:dyDescent="0.3">
      <c r="A337">
        <v>336</v>
      </c>
      <c r="B337" t="s">
        <v>875</v>
      </c>
      <c r="C337" t="s">
        <v>11</v>
      </c>
      <c r="D337" t="s">
        <v>15</v>
      </c>
      <c r="E337">
        <v>741853</v>
      </c>
      <c r="F337">
        <v>9.7000000000000003E-2</v>
      </c>
      <c r="G337">
        <v>30</v>
      </c>
      <c r="H337" t="s">
        <v>11</v>
      </c>
      <c r="I337">
        <v>8</v>
      </c>
    </row>
    <row r="338" spans="1:10" x14ac:dyDescent="0.3">
      <c r="A338">
        <v>337</v>
      </c>
      <c r="B338" t="s">
        <v>876</v>
      </c>
      <c r="C338" t="s">
        <v>11</v>
      </c>
      <c r="D338" t="s">
        <v>877</v>
      </c>
      <c r="E338">
        <v>1013377</v>
      </c>
      <c r="F338">
        <v>0.12</v>
      </c>
      <c r="G338">
        <v>25</v>
      </c>
      <c r="H338" t="s">
        <v>878</v>
      </c>
      <c r="I338">
        <v>10</v>
      </c>
      <c r="J338" t="s">
        <v>879</v>
      </c>
    </row>
    <row r="339" spans="1:10" x14ac:dyDescent="0.3">
      <c r="A339">
        <v>338</v>
      </c>
      <c r="B339" t="s">
        <v>880</v>
      </c>
      <c r="C339" t="s">
        <v>11</v>
      </c>
      <c r="D339" t="s">
        <v>881</v>
      </c>
      <c r="E339">
        <v>636489</v>
      </c>
      <c r="F339">
        <v>0.107</v>
      </c>
      <c r="G339">
        <v>15</v>
      </c>
      <c r="H339" t="s">
        <v>11</v>
      </c>
      <c r="I339">
        <v>5</v>
      </c>
    </row>
    <row r="340" spans="1:10" x14ac:dyDescent="0.3">
      <c r="A340">
        <v>339</v>
      </c>
      <c r="B340" t="s">
        <v>882</v>
      </c>
      <c r="C340" t="s">
        <v>11</v>
      </c>
      <c r="D340" t="s">
        <v>15</v>
      </c>
      <c r="E340">
        <v>1892742</v>
      </c>
      <c r="F340">
        <v>8.8999999999999996E-2</v>
      </c>
      <c r="G340">
        <v>10</v>
      </c>
      <c r="H340" t="s">
        <v>11</v>
      </c>
      <c r="I340">
        <v>12</v>
      </c>
      <c r="J340" t="s">
        <v>883</v>
      </c>
    </row>
    <row r="341" spans="1:10" x14ac:dyDescent="0.3">
      <c r="A341">
        <v>340</v>
      </c>
      <c r="B341" t="s">
        <v>884</v>
      </c>
      <c r="C341" t="s">
        <v>11</v>
      </c>
      <c r="D341" t="s">
        <v>885</v>
      </c>
      <c r="E341">
        <v>2095396</v>
      </c>
      <c r="F341">
        <v>0.11700000000000001</v>
      </c>
      <c r="G341">
        <v>20</v>
      </c>
      <c r="H341" t="s">
        <v>11</v>
      </c>
      <c r="I341">
        <v>2</v>
      </c>
      <c r="J341" t="s">
        <v>886</v>
      </c>
    </row>
    <row r="342" spans="1:10" x14ac:dyDescent="0.3">
      <c r="A342">
        <v>341</v>
      </c>
      <c r="B342" t="s">
        <v>887</v>
      </c>
      <c r="C342" t="s">
        <v>11</v>
      </c>
      <c r="D342" t="s">
        <v>888</v>
      </c>
      <c r="E342">
        <v>2410998</v>
      </c>
      <c r="F342">
        <v>8.1000000000000003E-2</v>
      </c>
      <c r="G342">
        <v>20</v>
      </c>
      <c r="H342" t="s">
        <v>11</v>
      </c>
      <c r="I342">
        <v>8</v>
      </c>
      <c r="J342" t="s">
        <v>889</v>
      </c>
    </row>
    <row r="343" spans="1:10" x14ac:dyDescent="0.3">
      <c r="A343">
        <v>342</v>
      </c>
      <c r="B343" t="s">
        <v>890</v>
      </c>
      <c r="C343" t="s">
        <v>11</v>
      </c>
      <c r="D343" t="s">
        <v>15</v>
      </c>
      <c r="E343">
        <v>1832175</v>
      </c>
      <c r="F343">
        <v>9.7000000000000003E-2</v>
      </c>
      <c r="G343">
        <v>15</v>
      </c>
      <c r="H343" t="s">
        <v>891</v>
      </c>
      <c r="I343">
        <v>6</v>
      </c>
    </row>
    <row r="344" spans="1:10" x14ac:dyDescent="0.3">
      <c r="A344">
        <v>343</v>
      </c>
      <c r="B344" t="s">
        <v>892</v>
      </c>
      <c r="C344" t="s">
        <v>11</v>
      </c>
      <c r="D344" t="s">
        <v>15</v>
      </c>
      <c r="E344">
        <v>1234067</v>
      </c>
      <c r="F344">
        <v>0.107</v>
      </c>
      <c r="G344">
        <v>25</v>
      </c>
      <c r="H344" t="s">
        <v>893</v>
      </c>
      <c r="I344">
        <v>12</v>
      </c>
    </row>
    <row r="345" spans="1:10" x14ac:dyDescent="0.3">
      <c r="A345">
        <v>344</v>
      </c>
      <c r="B345" t="s">
        <v>894</v>
      </c>
      <c r="C345" t="s">
        <v>11</v>
      </c>
      <c r="D345" t="s">
        <v>895</v>
      </c>
      <c r="E345">
        <v>939828</v>
      </c>
      <c r="F345">
        <v>0.108</v>
      </c>
      <c r="G345">
        <v>15</v>
      </c>
      <c r="H345" t="s">
        <v>11</v>
      </c>
      <c r="I345">
        <v>13</v>
      </c>
      <c r="J345" t="s">
        <v>896</v>
      </c>
    </row>
    <row r="346" spans="1:10" x14ac:dyDescent="0.3">
      <c r="A346">
        <v>345</v>
      </c>
      <c r="B346" t="s">
        <v>897</v>
      </c>
      <c r="C346" t="s">
        <v>265</v>
      </c>
      <c r="D346" t="s">
        <v>898</v>
      </c>
      <c r="E346">
        <v>2014854</v>
      </c>
      <c r="F346">
        <v>0.114</v>
      </c>
      <c r="G346">
        <v>25</v>
      </c>
      <c r="H346" t="s">
        <v>11</v>
      </c>
      <c r="I346">
        <v>9</v>
      </c>
      <c r="J346" t="s">
        <v>899</v>
      </c>
    </row>
    <row r="347" spans="1:10" x14ac:dyDescent="0.3">
      <c r="A347">
        <v>346</v>
      </c>
      <c r="B347" t="s">
        <v>900</v>
      </c>
      <c r="C347" t="s">
        <v>11</v>
      </c>
      <c r="D347" t="s">
        <v>901</v>
      </c>
      <c r="E347">
        <v>1008835</v>
      </c>
      <c r="F347">
        <v>9.9000000000000005E-2</v>
      </c>
      <c r="G347">
        <v>15</v>
      </c>
      <c r="H347" t="s">
        <v>11</v>
      </c>
      <c r="I347">
        <v>14</v>
      </c>
      <c r="J347" t="s">
        <v>902</v>
      </c>
    </row>
    <row r="348" spans="1:10" x14ac:dyDescent="0.3">
      <c r="A348">
        <v>347</v>
      </c>
      <c r="B348" t="s">
        <v>903</v>
      </c>
      <c r="C348" t="s">
        <v>11</v>
      </c>
      <c r="D348" t="s">
        <v>15</v>
      </c>
      <c r="E348">
        <v>990109</v>
      </c>
      <c r="F348">
        <v>0.11</v>
      </c>
      <c r="G348">
        <v>30</v>
      </c>
      <c r="H348" t="s">
        <v>11</v>
      </c>
      <c r="I348">
        <v>15</v>
      </c>
      <c r="J348" t="s">
        <v>904</v>
      </c>
    </row>
    <row r="349" spans="1:10" x14ac:dyDescent="0.3">
      <c r="A349">
        <v>348</v>
      </c>
      <c r="B349" t="s">
        <v>905</v>
      </c>
      <c r="C349" t="s">
        <v>11</v>
      </c>
      <c r="D349" t="s">
        <v>15</v>
      </c>
      <c r="E349">
        <v>2457812</v>
      </c>
      <c r="F349">
        <v>9.1999999999999998E-2</v>
      </c>
      <c r="G349">
        <v>20</v>
      </c>
      <c r="H349" t="s">
        <v>11</v>
      </c>
      <c r="I349">
        <v>3</v>
      </c>
      <c r="J349" t="s">
        <v>906</v>
      </c>
    </row>
    <row r="350" spans="1:10" x14ac:dyDescent="0.3">
      <c r="A350">
        <v>349</v>
      </c>
      <c r="B350" t="s">
        <v>907</v>
      </c>
      <c r="C350" t="s">
        <v>11</v>
      </c>
      <c r="D350" t="s">
        <v>908</v>
      </c>
      <c r="E350">
        <v>2464673</v>
      </c>
      <c r="F350">
        <v>0.104</v>
      </c>
      <c r="G350">
        <v>30</v>
      </c>
      <c r="H350" t="s">
        <v>909</v>
      </c>
      <c r="I350">
        <v>4</v>
      </c>
      <c r="J350" t="s">
        <v>910</v>
      </c>
    </row>
    <row r="351" spans="1:10" x14ac:dyDescent="0.3">
      <c r="A351">
        <v>350</v>
      </c>
      <c r="B351" t="s">
        <v>911</v>
      </c>
      <c r="C351" t="s">
        <v>11</v>
      </c>
      <c r="D351" t="s">
        <v>912</v>
      </c>
      <c r="E351">
        <v>507389</v>
      </c>
      <c r="F351">
        <v>0.10199999999999999</v>
      </c>
      <c r="G351">
        <v>20</v>
      </c>
      <c r="H351" t="s">
        <v>11</v>
      </c>
      <c r="I351">
        <v>10</v>
      </c>
    </row>
    <row r="352" spans="1:10" x14ac:dyDescent="0.3">
      <c r="A352">
        <v>351</v>
      </c>
      <c r="B352" t="s">
        <v>913</v>
      </c>
      <c r="C352" t="s">
        <v>11</v>
      </c>
      <c r="D352" t="s">
        <v>914</v>
      </c>
      <c r="E352">
        <v>1959697</v>
      </c>
      <c r="F352">
        <v>0.11</v>
      </c>
      <c r="G352">
        <v>20</v>
      </c>
      <c r="H352" t="s">
        <v>11</v>
      </c>
      <c r="I352">
        <v>4</v>
      </c>
    </row>
    <row r="353" spans="1:10" x14ac:dyDescent="0.3">
      <c r="A353">
        <v>352</v>
      </c>
      <c r="B353" t="s">
        <v>915</v>
      </c>
      <c r="C353" t="s">
        <v>11</v>
      </c>
      <c r="D353" t="s">
        <v>916</v>
      </c>
      <c r="E353">
        <v>1813681</v>
      </c>
      <c r="F353">
        <v>9.2999999999999999E-2</v>
      </c>
      <c r="G353">
        <v>25</v>
      </c>
      <c r="H353" t="s">
        <v>917</v>
      </c>
      <c r="I353">
        <v>6</v>
      </c>
    </row>
    <row r="354" spans="1:10" x14ac:dyDescent="0.3">
      <c r="A354">
        <v>353</v>
      </c>
      <c r="B354" t="s">
        <v>918</v>
      </c>
      <c r="C354" t="s">
        <v>11</v>
      </c>
      <c r="D354" t="s">
        <v>919</v>
      </c>
      <c r="E354">
        <v>1194154</v>
      </c>
      <c r="F354">
        <v>0.11799999999999999</v>
      </c>
      <c r="G354">
        <v>20</v>
      </c>
      <c r="H354" t="s">
        <v>920</v>
      </c>
      <c r="I354">
        <v>8</v>
      </c>
    </row>
    <row r="355" spans="1:10" x14ac:dyDescent="0.3">
      <c r="A355">
        <v>354</v>
      </c>
      <c r="B355" t="s">
        <v>921</v>
      </c>
      <c r="C355" t="s">
        <v>865</v>
      </c>
      <c r="D355" t="s">
        <v>922</v>
      </c>
      <c r="E355">
        <v>744985</v>
      </c>
      <c r="F355">
        <v>0.115</v>
      </c>
      <c r="G355">
        <v>25</v>
      </c>
      <c r="H355" t="s">
        <v>11</v>
      </c>
      <c r="I355">
        <v>14</v>
      </c>
      <c r="J355" t="s">
        <v>923</v>
      </c>
    </row>
    <row r="356" spans="1:10" x14ac:dyDescent="0.3">
      <c r="A356">
        <v>355</v>
      </c>
      <c r="B356" t="s">
        <v>924</v>
      </c>
      <c r="C356" t="s">
        <v>11</v>
      </c>
      <c r="D356" t="s">
        <v>925</v>
      </c>
      <c r="E356">
        <v>1138013</v>
      </c>
      <c r="F356">
        <v>0.10299999999999999</v>
      </c>
      <c r="G356">
        <v>25</v>
      </c>
      <c r="H356" t="s">
        <v>11</v>
      </c>
      <c r="I356">
        <v>8</v>
      </c>
    </row>
    <row r="357" spans="1:10" x14ac:dyDescent="0.3">
      <c r="A357">
        <v>356</v>
      </c>
      <c r="B357" t="s">
        <v>926</v>
      </c>
      <c r="C357" t="s">
        <v>695</v>
      </c>
      <c r="D357" t="s">
        <v>927</v>
      </c>
      <c r="E357">
        <v>1020582</v>
      </c>
      <c r="F357">
        <v>0.10100000000000001</v>
      </c>
      <c r="G357">
        <v>30</v>
      </c>
      <c r="H357" t="s">
        <v>928</v>
      </c>
      <c r="I357">
        <v>6</v>
      </c>
    </row>
    <row r="358" spans="1:10" x14ac:dyDescent="0.3">
      <c r="A358">
        <v>357</v>
      </c>
      <c r="B358" t="s">
        <v>929</v>
      </c>
      <c r="C358" t="s">
        <v>11</v>
      </c>
      <c r="D358" t="s">
        <v>930</v>
      </c>
      <c r="E358">
        <v>2007778</v>
      </c>
      <c r="F358">
        <v>9.1999999999999998E-2</v>
      </c>
      <c r="G358">
        <v>25</v>
      </c>
      <c r="H358" t="s">
        <v>397</v>
      </c>
      <c r="I358">
        <v>14</v>
      </c>
      <c r="J358" t="s">
        <v>931</v>
      </c>
    </row>
    <row r="359" spans="1:10" x14ac:dyDescent="0.3">
      <c r="A359">
        <v>358</v>
      </c>
      <c r="B359" t="s">
        <v>932</v>
      </c>
      <c r="C359" t="s">
        <v>88</v>
      </c>
      <c r="D359" t="s">
        <v>933</v>
      </c>
      <c r="E359">
        <v>1571594</v>
      </c>
      <c r="F359">
        <v>8.6999999999999994E-2</v>
      </c>
      <c r="G359">
        <v>30</v>
      </c>
      <c r="H359" t="s">
        <v>11</v>
      </c>
      <c r="I359">
        <v>11</v>
      </c>
    </row>
    <row r="360" spans="1:10" x14ac:dyDescent="0.3">
      <c r="A360">
        <v>359</v>
      </c>
      <c r="B360" t="s">
        <v>934</v>
      </c>
      <c r="C360" t="s">
        <v>11</v>
      </c>
      <c r="D360" t="s">
        <v>935</v>
      </c>
      <c r="E360">
        <v>1712717</v>
      </c>
      <c r="F360">
        <v>0.11600000000000001</v>
      </c>
      <c r="G360">
        <v>30</v>
      </c>
      <c r="H360" t="s">
        <v>603</v>
      </c>
      <c r="I360">
        <v>2</v>
      </c>
      <c r="J360" t="s">
        <v>936</v>
      </c>
    </row>
    <row r="361" spans="1:10" x14ac:dyDescent="0.3">
      <c r="A361">
        <v>360</v>
      </c>
      <c r="B361" t="s">
        <v>937</v>
      </c>
      <c r="C361" t="s">
        <v>11</v>
      </c>
      <c r="D361" t="s">
        <v>15</v>
      </c>
      <c r="E361">
        <v>1533780</v>
      </c>
      <c r="F361">
        <v>8.5999999999999993E-2</v>
      </c>
      <c r="G361">
        <v>15</v>
      </c>
      <c r="H361" t="s">
        <v>11</v>
      </c>
      <c r="I361">
        <v>1</v>
      </c>
      <c r="J361" t="s">
        <v>938</v>
      </c>
    </row>
    <row r="362" spans="1:10" x14ac:dyDescent="0.3">
      <c r="A362">
        <v>361</v>
      </c>
      <c r="B362" t="s">
        <v>939</v>
      </c>
      <c r="C362" t="s">
        <v>40</v>
      </c>
      <c r="D362" t="s">
        <v>940</v>
      </c>
      <c r="E362">
        <v>1548635</v>
      </c>
      <c r="F362">
        <v>9.9000000000000005E-2</v>
      </c>
      <c r="G362">
        <v>10</v>
      </c>
      <c r="H362" t="s">
        <v>941</v>
      </c>
      <c r="I362">
        <v>13</v>
      </c>
      <c r="J362" t="s">
        <v>942</v>
      </c>
    </row>
    <row r="363" spans="1:10" x14ac:dyDescent="0.3">
      <c r="A363">
        <v>362</v>
      </c>
      <c r="B363" t="s">
        <v>943</v>
      </c>
      <c r="C363" t="s">
        <v>11</v>
      </c>
      <c r="D363" t="s">
        <v>944</v>
      </c>
      <c r="E363">
        <v>2272827</v>
      </c>
      <c r="F363">
        <v>0.11600000000000001</v>
      </c>
      <c r="G363">
        <v>30</v>
      </c>
      <c r="H363" t="s">
        <v>11</v>
      </c>
      <c r="I363">
        <v>11</v>
      </c>
      <c r="J363" t="s">
        <v>945</v>
      </c>
    </row>
    <row r="364" spans="1:10" x14ac:dyDescent="0.3">
      <c r="A364">
        <v>363</v>
      </c>
      <c r="B364" t="s">
        <v>946</v>
      </c>
      <c r="C364" t="s">
        <v>11</v>
      </c>
      <c r="D364" t="s">
        <v>947</v>
      </c>
      <c r="E364">
        <v>1292886</v>
      </c>
      <c r="F364">
        <v>9.0999999999999998E-2</v>
      </c>
      <c r="G364">
        <v>20</v>
      </c>
      <c r="H364" t="s">
        <v>11</v>
      </c>
      <c r="I364">
        <v>0</v>
      </c>
      <c r="J364" t="s">
        <v>948</v>
      </c>
    </row>
    <row r="365" spans="1:10" x14ac:dyDescent="0.3">
      <c r="A365">
        <v>364</v>
      </c>
      <c r="B365" t="s">
        <v>949</v>
      </c>
      <c r="C365" t="s">
        <v>385</v>
      </c>
      <c r="D365" t="s">
        <v>950</v>
      </c>
      <c r="E365">
        <v>2312901</v>
      </c>
      <c r="F365">
        <v>9.9000000000000005E-2</v>
      </c>
      <c r="G365">
        <v>25</v>
      </c>
      <c r="H365" t="s">
        <v>11</v>
      </c>
      <c r="I365">
        <v>4</v>
      </c>
    </row>
    <row r="366" spans="1:10" x14ac:dyDescent="0.3">
      <c r="A366">
        <v>365</v>
      </c>
      <c r="B366" t="s">
        <v>951</v>
      </c>
      <c r="C366" t="s">
        <v>11</v>
      </c>
      <c r="D366" t="s">
        <v>15</v>
      </c>
      <c r="E366">
        <v>794591</v>
      </c>
      <c r="F366">
        <v>0.12</v>
      </c>
      <c r="G366">
        <v>20</v>
      </c>
      <c r="H366" t="s">
        <v>11</v>
      </c>
      <c r="I366">
        <v>5</v>
      </c>
      <c r="J366" t="s">
        <v>952</v>
      </c>
    </row>
    <row r="367" spans="1:10" x14ac:dyDescent="0.3">
      <c r="A367">
        <v>366</v>
      </c>
      <c r="B367" t="s">
        <v>953</v>
      </c>
      <c r="C367" t="s">
        <v>523</v>
      </c>
      <c r="D367" t="s">
        <v>954</v>
      </c>
      <c r="E367">
        <v>2242134</v>
      </c>
      <c r="F367">
        <v>0.11700000000000001</v>
      </c>
      <c r="G367">
        <v>25</v>
      </c>
      <c r="H367" t="s">
        <v>11</v>
      </c>
      <c r="I367">
        <v>2</v>
      </c>
    </row>
    <row r="368" spans="1:10" x14ac:dyDescent="0.3">
      <c r="A368">
        <v>367</v>
      </c>
      <c r="B368" t="s">
        <v>955</v>
      </c>
      <c r="C368" t="s">
        <v>11</v>
      </c>
      <c r="D368" t="s">
        <v>956</v>
      </c>
      <c r="E368">
        <v>1363583</v>
      </c>
      <c r="F368">
        <v>0.11</v>
      </c>
      <c r="G368">
        <v>15</v>
      </c>
      <c r="H368" t="s">
        <v>11</v>
      </c>
      <c r="I368">
        <v>12</v>
      </c>
      <c r="J368" t="s">
        <v>957</v>
      </c>
    </row>
    <row r="369" spans="1:10" x14ac:dyDescent="0.3">
      <c r="A369">
        <v>368</v>
      </c>
      <c r="B369" t="s">
        <v>958</v>
      </c>
      <c r="C369" t="s">
        <v>11</v>
      </c>
      <c r="D369" t="s">
        <v>959</v>
      </c>
      <c r="E369">
        <v>1808165</v>
      </c>
      <c r="F369">
        <v>0.104</v>
      </c>
      <c r="G369">
        <v>30</v>
      </c>
      <c r="H369" t="s">
        <v>84</v>
      </c>
      <c r="I369">
        <v>15</v>
      </c>
      <c r="J369" t="s">
        <v>960</v>
      </c>
    </row>
    <row r="370" spans="1:10" x14ac:dyDescent="0.3">
      <c r="A370">
        <v>369</v>
      </c>
      <c r="B370" t="s">
        <v>961</v>
      </c>
      <c r="C370" t="s">
        <v>11</v>
      </c>
      <c r="D370" t="s">
        <v>962</v>
      </c>
      <c r="E370">
        <v>1710250</v>
      </c>
      <c r="F370">
        <v>0.114</v>
      </c>
      <c r="G370">
        <v>25</v>
      </c>
      <c r="H370" t="s">
        <v>11</v>
      </c>
      <c r="I370">
        <v>5</v>
      </c>
      <c r="J370" t="s">
        <v>963</v>
      </c>
    </row>
    <row r="371" spans="1:10" x14ac:dyDescent="0.3">
      <c r="A371">
        <v>370</v>
      </c>
      <c r="B371" t="s">
        <v>964</v>
      </c>
      <c r="C371" t="s">
        <v>11</v>
      </c>
      <c r="D371" t="s">
        <v>965</v>
      </c>
      <c r="E371">
        <v>1930374</v>
      </c>
      <c r="F371">
        <v>0.11600000000000001</v>
      </c>
      <c r="G371">
        <v>20</v>
      </c>
      <c r="H371" t="s">
        <v>11</v>
      </c>
      <c r="I371">
        <v>9</v>
      </c>
      <c r="J371" t="s">
        <v>966</v>
      </c>
    </row>
    <row r="372" spans="1:10" x14ac:dyDescent="0.3">
      <c r="A372">
        <v>371</v>
      </c>
      <c r="B372" t="s">
        <v>967</v>
      </c>
      <c r="C372" t="s">
        <v>11</v>
      </c>
      <c r="D372" t="s">
        <v>15</v>
      </c>
      <c r="E372">
        <v>1933553</v>
      </c>
      <c r="F372">
        <v>0.109</v>
      </c>
      <c r="G372">
        <v>30</v>
      </c>
      <c r="H372" t="s">
        <v>11</v>
      </c>
      <c r="I372">
        <v>13</v>
      </c>
    </row>
    <row r="373" spans="1:10" x14ac:dyDescent="0.3">
      <c r="A373">
        <v>372</v>
      </c>
      <c r="B373" t="s">
        <v>968</v>
      </c>
      <c r="C373" t="s">
        <v>11</v>
      </c>
      <c r="D373" t="s">
        <v>969</v>
      </c>
      <c r="E373">
        <v>2340043</v>
      </c>
      <c r="F373">
        <v>8.8999999999999996E-2</v>
      </c>
      <c r="G373">
        <v>20</v>
      </c>
      <c r="H373" t="s">
        <v>970</v>
      </c>
      <c r="I373">
        <v>14</v>
      </c>
      <c r="J373" t="s">
        <v>971</v>
      </c>
    </row>
    <row r="374" spans="1:10" x14ac:dyDescent="0.3">
      <c r="A374">
        <v>373</v>
      </c>
      <c r="B374" t="s">
        <v>972</v>
      </c>
      <c r="C374" t="s">
        <v>11</v>
      </c>
      <c r="D374" t="s">
        <v>973</v>
      </c>
      <c r="E374">
        <v>2165277</v>
      </c>
      <c r="F374">
        <v>0.105</v>
      </c>
      <c r="G374">
        <v>15</v>
      </c>
      <c r="H374" t="s">
        <v>11</v>
      </c>
      <c r="I374">
        <v>8</v>
      </c>
      <c r="J374" t="s">
        <v>974</v>
      </c>
    </row>
    <row r="375" spans="1:10" x14ac:dyDescent="0.3">
      <c r="A375">
        <v>374</v>
      </c>
      <c r="B375" t="s">
        <v>975</v>
      </c>
      <c r="C375" t="s">
        <v>11</v>
      </c>
      <c r="D375" t="s">
        <v>15</v>
      </c>
      <c r="E375">
        <v>1419484</v>
      </c>
      <c r="F375">
        <v>0.11</v>
      </c>
      <c r="G375">
        <v>20</v>
      </c>
      <c r="H375" t="s">
        <v>11</v>
      </c>
      <c r="I375">
        <v>10</v>
      </c>
    </row>
    <row r="376" spans="1:10" x14ac:dyDescent="0.3">
      <c r="A376">
        <v>375</v>
      </c>
      <c r="B376" t="s">
        <v>976</v>
      </c>
      <c r="C376" t="s">
        <v>11</v>
      </c>
      <c r="D376" t="s">
        <v>977</v>
      </c>
      <c r="E376">
        <v>1703343</v>
      </c>
      <c r="F376">
        <v>0.11600000000000001</v>
      </c>
      <c r="G376">
        <v>10</v>
      </c>
      <c r="H376" t="s">
        <v>734</v>
      </c>
      <c r="I376">
        <v>14</v>
      </c>
    </row>
    <row r="377" spans="1:10" x14ac:dyDescent="0.3">
      <c r="A377">
        <v>376</v>
      </c>
      <c r="B377" t="s">
        <v>978</v>
      </c>
      <c r="C377" t="s">
        <v>11</v>
      </c>
      <c r="D377" t="s">
        <v>15</v>
      </c>
      <c r="E377">
        <v>2379876</v>
      </c>
      <c r="F377">
        <v>9.8000000000000004E-2</v>
      </c>
      <c r="G377">
        <v>20</v>
      </c>
      <c r="H377" t="s">
        <v>11</v>
      </c>
      <c r="I377">
        <v>15</v>
      </c>
    </row>
    <row r="378" spans="1:10" x14ac:dyDescent="0.3">
      <c r="A378">
        <v>377</v>
      </c>
      <c r="B378" t="s">
        <v>979</v>
      </c>
      <c r="C378" t="s">
        <v>26</v>
      </c>
      <c r="D378" t="s">
        <v>980</v>
      </c>
      <c r="E378">
        <v>1941066</v>
      </c>
      <c r="F378">
        <v>0.111</v>
      </c>
      <c r="G378">
        <v>25</v>
      </c>
      <c r="H378" t="s">
        <v>981</v>
      </c>
      <c r="I378">
        <v>4</v>
      </c>
      <c r="J378" t="s">
        <v>982</v>
      </c>
    </row>
    <row r="379" spans="1:10" x14ac:dyDescent="0.3">
      <c r="A379">
        <v>378</v>
      </c>
      <c r="B379" t="s">
        <v>983</v>
      </c>
      <c r="C379" t="s">
        <v>160</v>
      </c>
      <c r="D379" t="s">
        <v>984</v>
      </c>
      <c r="E379">
        <v>723011</v>
      </c>
      <c r="F379">
        <v>0.105</v>
      </c>
      <c r="G379">
        <v>20</v>
      </c>
      <c r="H379" t="s">
        <v>985</v>
      </c>
      <c r="I379">
        <v>15</v>
      </c>
    </row>
    <row r="380" spans="1:10" x14ac:dyDescent="0.3">
      <c r="A380">
        <v>379</v>
      </c>
      <c r="B380" t="s">
        <v>986</v>
      </c>
      <c r="C380" t="s">
        <v>330</v>
      </c>
      <c r="D380" t="s">
        <v>987</v>
      </c>
      <c r="E380">
        <v>1556860</v>
      </c>
      <c r="F380">
        <v>0.106</v>
      </c>
      <c r="G380">
        <v>25</v>
      </c>
      <c r="H380" t="s">
        <v>11</v>
      </c>
      <c r="I380">
        <v>11</v>
      </c>
      <c r="J380" t="s">
        <v>988</v>
      </c>
    </row>
    <row r="381" spans="1:10" x14ac:dyDescent="0.3">
      <c r="A381">
        <v>380</v>
      </c>
      <c r="B381" t="s">
        <v>989</v>
      </c>
      <c r="C381" t="s">
        <v>435</v>
      </c>
      <c r="D381" t="s">
        <v>990</v>
      </c>
      <c r="E381">
        <v>1625606</v>
      </c>
      <c r="F381">
        <v>0.106</v>
      </c>
      <c r="G381">
        <v>15</v>
      </c>
      <c r="H381" t="s">
        <v>11</v>
      </c>
      <c r="I381">
        <v>11</v>
      </c>
    </row>
    <row r="382" spans="1:10" x14ac:dyDescent="0.3">
      <c r="A382">
        <v>381</v>
      </c>
      <c r="B382" t="s">
        <v>991</v>
      </c>
      <c r="C382" t="s">
        <v>11</v>
      </c>
      <c r="D382" t="s">
        <v>15</v>
      </c>
      <c r="E382">
        <v>615822</v>
      </c>
      <c r="F382">
        <v>0.11600000000000001</v>
      </c>
      <c r="G382">
        <v>25</v>
      </c>
      <c r="H382" t="s">
        <v>992</v>
      </c>
      <c r="I382">
        <v>13</v>
      </c>
      <c r="J382" t="s">
        <v>993</v>
      </c>
    </row>
    <row r="383" spans="1:10" x14ac:dyDescent="0.3">
      <c r="A383">
        <v>382</v>
      </c>
      <c r="B383" t="s">
        <v>994</v>
      </c>
      <c r="C383" t="s">
        <v>11</v>
      </c>
      <c r="D383" t="s">
        <v>995</v>
      </c>
      <c r="E383">
        <v>1142461</v>
      </c>
      <c r="F383">
        <v>0.114</v>
      </c>
      <c r="G383">
        <v>25</v>
      </c>
      <c r="H383" t="s">
        <v>996</v>
      </c>
      <c r="I383">
        <v>14</v>
      </c>
    </row>
    <row r="384" spans="1:10" x14ac:dyDescent="0.3">
      <c r="A384">
        <v>383</v>
      </c>
      <c r="B384" t="s">
        <v>997</v>
      </c>
      <c r="C384" t="s">
        <v>11</v>
      </c>
      <c r="D384" t="s">
        <v>15</v>
      </c>
      <c r="E384">
        <v>658588</v>
      </c>
      <c r="F384">
        <v>0.106</v>
      </c>
      <c r="G384">
        <v>25</v>
      </c>
      <c r="H384" t="s">
        <v>11</v>
      </c>
      <c r="I384">
        <v>9</v>
      </c>
    </row>
    <row r="385" spans="1:10" x14ac:dyDescent="0.3">
      <c r="A385">
        <v>384</v>
      </c>
      <c r="B385" t="s">
        <v>998</v>
      </c>
      <c r="C385" t="s">
        <v>11</v>
      </c>
      <c r="D385" t="s">
        <v>999</v>
      </c>
      <c r="E385">
        <v>599378</v>
      </c>
      <c r="F385">
        <v>0.111</v>
      </c>
      <c r="G385">
        <v>30</v>
      </c>
      <c r="H385" t="s">
        <v>1000</v>
      </c>
      <c r="I385">
        <v>10</v>
      </c>
      <c r="J385" t="s">
        <v>1001</v>
      </c>
    </row>
    <row r="386" spans="1:10" x14ac:dyDescent="0.3">
      <c r="A386">
        <v>385</v>
      </c>
      <c r="B386" t="s">
        <v>1002</v>
      </c>
      <c r="C386" t="s">
        <v>11</v>
      </c>
      <c r="D386" t="s">
        <v>1003</v>
      </c>
      <c r="E386">
        <v>1189406</v>
      </c>
      <c r="F386">
        <v>0.108</v>
      </c>
      <c r="G386">
        <v>10</v>
      </c>
      <c r="H386" t="s">
        <v>189</v>
      </c>
      <c r="I386">
        <v>7</v>
      </c>
      <c r="J386" t="s">
        <v>1004</v>
      </c>
    </row>
    <row r="387" spans="1:10" x14ac:dyDescent="0.3">
      <c r="A387">
        <v>386</v>
      </c>
      <c r="B387" t="s">
        <v>1005</v>
      </c>
      <c r="C387" t="s">
        <v>11</v>
      </c>
      <c r="D387" t="s">
        <v>15</v>
      </c>
      <c r="E387">
        <v>2032239</v>
      </c>
      <c r="F387">
        <v>9.5000000000000001E-2</v>
      </c>
      <c r="G387">
        <v>20</v>
      </c>
      <c r="H387" t="s">
        <v>1006</v>
      </c>
      <c r="I387">
        <v>12</v>
      </c>
      <c r="J387" t="s">
        <v>1007</v>
      </c>
    </row>
    <row r="388" spans="1:10" x14ac:dyDescent="0.3">
      <c r="A388">
        <v>387</v>
      </c>
      <c r="B388" t="s">
        <v>1008</v>
      </c>
      <c r="C388" t="s">
        <v>11</v>
      </c>
      <c r="D388" t="s">
        <v>1009</v>
      </c>
      <c r="E388">
        <v>1665523</v>
      </c>
      <c r="F388">
        <v>9.1999999999999998E-2</v>
      </c>
      <c r="G388">
        <v>20</v>
      </c>
      <c r="H388" t="s">
        <v>11</v>
      </c>
      <c r="I388">
        <v>15</v>
      </c>
    </row>
    <row r="389" spans="1:10" x14ac:dyDescent="0.3">
      <c r="A389">
        <v>388</v>
      </c>
      <c r="B389" t="s">
        <v>1010</v>
      </c>
      <c r="C389" t="s">
        <v>11</v>
      </c>
      <c r="D389" t="s">
        <v>1011</v>
      </c>
      <c r="E389">
        <v>1186725</v>
      </c>
      <c r="F389">
        <v>0.108</v>
      </c>
      <c r="G389">
        <v>10</v>
      </c>
      <c r="H389" t="s">
        <v>11</v>
      </c>
      <c r="I389">
        <v>1</v>
      </c>
      <c r="J389" t="s">
        <v>1012</v>
      </c>
    </row>
    <row r="390" spans="1:10" x14ac:dyDescent="0.3">
      <c r="A390">
        <v>389</v>
      </c>
      <c r="B390" t="s">
        <v>1013</v>
      </c>
      <c r="C390" t="s">
        <v>11</v>
      </c>
      <c r="D390" t="s">
        <v>1014</v>
      </c>
      <c r="E390">
        <v>1632538</v>
      </c>
      <c r="F390">
        <v>9.1999999999999998E-2</v>
      </c>
      <c r="G390">
        <v>20</v>
      </c>
      <c r="H390" t="s">
        <v>518</v>
      </c>
      <c r="I390">
        <v>10</v>
      </c>
    </row>
    <row r="391" spans="1:10" x14ac:dyDescent="0.3">
      <c r="A391">
        <v>390</v>
      </c>
      <c r="B391" t="s">
        <v>1015</v>
      </c>
      <c r="C391" t="s">
        <v>11</v>
      </c>
      <c r="D391" t="s">
        <v>1016</v>
      </c>
      <c r="E391">
        <v>773498</v>
      </c>
      <c r="F391">
        <v>0.113</v>
      </c>
      <c r="G391">
        <v>25</v>
      </c>
      <c r="H391" t="s">
        <v>11</v>
      </c>
      <c r="I391">
        <v>11</v>
      </c>
    </row>
    <row r="392" spans="1:10" x14ac:dyDescent="0.3">
      <c r="A392">
        <v>391</v>
      </c>
      <c r="B392" t="s">
        <v>1017</v>
      </c>
      <c r="C392" t="s">
        <v>11</v>
      </c>
      <c r="D392" t="s">
        <v>1018</v>
      </c>
      <c r="E392">
        <v>1684620</v>
      </c>
      <c r="F392">
        <v>0.109</v>
      </c>
      <c r="G392">
        <v>10</v>
      </c>
      <c r="H392" t="s">
        <v>332</v>
      </c>
      <c r="I392">
        <v>5</v>
      </c>
    </row>
    <row r="393" spans="1:10" x14ac:dyDescent="0.3">
      <c r="A393">
        <v>392</v>
      </c>
      <c r="B393" t="s">
        <v>1019</v>
      </c>
      <c r="C393" t="s">
        <v>11</v>
      </c>
      <c r="D393" t="s">
        <v>1020</v>
      </c>
      <c r="E393">
        <v>1276089</v>
      </c>
      <c r="F393">
        <v>8.7999999999999995E-2</v>
      </c>
      <c r="G393">
        <v>20</v>
      </c>
      <c r="H393" t="s">
        <v>1021</v>
      </c>
      <c r="I393">
        <v>15</v>
      </c>
    </row>
    <row r="394" spans="1:10" x14ac:dyDescent="0.3">
      <c r="A394">
        <v>393</v>
      </c>
      <c r="B394" t="s">
        <v>1022</v>
      </c>
      <c r="C394" t="s">
        <v>292</v>
      </c>
      <c r="D394" t="s">
        <v>15</v>
      </c>
      <c r="E394">
        <v>1944543</v>
      </c>
      <c r="F394">
        <v>0.11</v>
      </c>
      <c r="G394">
        <v>30</v>
      </c>
      <c r="H394" t="s">
        <v>11</v>
      </c>
      <c r="I394">
        <v>6</v>
      </c>
      <c r="J394" t="s">
        <v>1023</v>
      </c>
    </row>
    <row r="395" spans="1:10" x14ac:dyDescent="0.3">
      <c r="A395">
        <v>394</v>
      </c>
      <c r="B395" t="s">
        <v>1024</v>
      </c>
      <c r="C395" t="s">
        <v>367</v>
      </c>
      <c r="D395" t="s">
        <v>1025</v>
      </c>
      <c r="E395">
        <v>788021</v>
      </c>
      <c r="F395">
        <v>0.111</v>
      </c>
      <c r="G395">
        <v>25</v>
      </c>
      <c r="H395" t="s">
        <v>1026</v>
      </c>
      <c r="I395">
        <v>8</v>
      </c>
      <c r="J395" t="s">
        <v>1027</v>
      </c>
    </row>
    <row r="396" spans="1:10" x14ac:dyDescent="0.3">
      <c r="A396">
        <v>395</v>
      </c>
      <c r="B396" t="s">
        <v>1028</v>
      </c>
      <c r="C396" t="s">
        <v>11</v>
      </c>
      <c r="D396" t="s">
        <v>15</v>
      </c>
      <c r="E396">
        <v>1999211</v>
      </c>
      <c r="F396">
        <v>0.12</v>
      </c>
      <c r="G396">
        <v>20</v>
      </c>
      <c r="H396" t="s">
        <v>526</v>
      </c>
      <c r="I396">
        <v>2</v>
      </c>
    </row>
    <row r="397" spans="1:10" x14ac:dyDescent="0.3">
      <c r="A397">
        <v>396</v>
      </c>
      <c r="B397" t="s">
        <v>1029</v>
      </c>
      <c r="C397" t="s">
        <v>865</v>
      </c>
      <c r="D397" t="s">
        <v>1030</v>
      </c>
      <c r="E397">
        <v>1438181</v>
      </c>
      <c r="F397">
        <v>8.5999999999999993E-2</v>
      </c>
      <c r="G397">
        <v>20</v>
      </c>
      <c r="H397" t="s">
        <v>11</v>
      </c>
      <c r="I397">
        <v>14</v>
      </c>
      <c r="J397" t="s">
        <v>1031</v>
      </c>
    </row>
    <row r="398" spans="1:10" x14ac:dyDescent="0.3">
      <c r="A398">
        <v>397</v>
      </c>
      <c r="B398" t="s">
        <v>1032</v>
      </c>
      <c r="C398" t="s">
        <v>11</v>
      </c>
      <c r="D398" t="s">
        <v>1033</v>
      </c>
      <c r="E398">
        <v>974908</v>
      </c>
      <c r="F398">
        <v>0.10199999999999999</v>
      </c>
      <c r="G398">
        <v>25</v>
      </c>
      <c r="H398" t="s">
        <v>11</v>
      </c>
      <c r="I398">
        <v>3</v>
      </c>
    </row>
    <row r="399" spans="1:10" x14ac:dyDescent="0.3">
      <c r="A399">
        <v>398</v>
      </c>
      <c r="B399" t="s">
        <v>1034</v>
      </c>
      <c r="C399" t="s">
        <v>11</v>
      </c>
      <c r="D399" t="s">
        <v>15</v>
      </c>
      <c r="E399">
        <v>517733</v>
      </c>
      <c r="F399">
        <v>8.4000000000000005E-2</v>
      </c>
      <c r="G399">
        <v>10</v>
      </c>
      <c r="H399" t="s">
        <v>11</v>
      </c>
      <c r="I399">
        <v>13</v>
      </c>
      <c r="J399" t="s">
        <v>1035</v>
      </c>
    </row>
    <row r="400" spans="1:10" x14ac:dyDescent="0.3">
      <c r="A400">
        <v>399</v>
      </c>
      <c r="B400" t="s">
        <v>1036</v>
      </c>
      <c r="C400" t="s">
        <v>11</v>
      </c>
      <c r="D400" t="s">
        <v>1037</v>
      </c>
      <c r="E400">
        <v>1807521</v>
      </c>
      <c r="F400">
        <v>0.10199999999999999</v>
      </c>
      <c r="G400">
        <v>25</v>
      </c>
      <c r="H400" t="s">
        <v>11</v>
      </c>
      <c r="I400">
        <v>3</v>
      </c>
      <c r="J400" t="s">
        <v>1038</v>
      </c>
    </row>
    <row r="401" spans="1:10" x14ac:dyDescent="0.3">
      <c r="A401">
        <v>400</v>
      </c>
      <c r="B401" t="s">
        <v>1039</v>
      </c>
      <c r="C401" t="s">
        <v>11</v>
      </c>
      <c r="D401" t="s">
        <v>1040</v>
      </c>
      <c r="E401">
        <v>1160590</v>
      </c>
      <c r="F401">
        <v>0.113</v>
      </c>
      <c r="G401">
        <v>10</v>
      </c>
      <c r="H401" t="s">
        <v>11</v>
      </c>
      <c r="I401">
        <v>5</v>
      </c>
    </row>
    <row r="402" spans="1:10" x14ac:dyDescent="0.3">
      <c r="A402">
        <v>401</v>
      </c>
      <c r="B402" t="s">
        <v>1041</v>
      </c>
      <c r="C402" t="s">
        <v>11</v>
      </c>
      <c r="D402" t="s">
        <v>1042</v>
      </c>
      <c r="E402">
        <v>569791</v>
      </c>
      <c r="F402">
        <v>0.112</v>
      </c>
      <c r="G402">
        <v>25</v>
      </c>
      <c r="H402" t="s">
        <v>1043</v>
      </c>
      <c r="I402">
        <v>8</v>
      </c>
    </row>
    <row r="403" spans="1:10" x14ac:dyDescent="0.3">
      <c r="A403">
        <v>402</v>
      </c>
      <c r="B403" t="s">
        <v>1044</v>
      </c>
      <c r="C403" t="s">
        <v>11</v>
      </c>
      <c r="D403" t="s">
        <v>1045</v>
      </c>
      <c r="E403">
        <v>2407664</v>
      </c>
      <c r="F403">
        <v>8.1000000000000003E-2</v>
      </c>
      <c r="G403">
        <v>20</v>
      </c>
      <c r="H403" t="s">
        <v>11</v>
      </c>
      <c r="I403">
        <v>13</v>
      </c>
      <c r="J403" t="s">
        <v>1046</v>
      </c>
    </row>
    <row r="404" spans="1:10" x14ac:dyDescent="0.3">
      <c r="A404">
        <v>403</v>
      </c>
      <c r="B404" t="s">
        <v>1047</v>
      </c>
      <c r="C404" t="s">
        <v>11</v>
      </c>
      <c r="D404" t="s">
        <v>15</v>
      </c>
      <c r="E404">
        <v>724103</v>
      </c>
      <c r="F404">
        <v>0.111</v>
      </c>
      <c r="G404">
        <v>30</v>
      </c>
      <c r="H404" t="s">
        <v>11</v>
      </c>
      <c r="I404">
        <v>5</v>
      </c>
    </row>
    <row r="405" spans="1:10" x14ac:dyDescent="0.3">
      <c r="A405">
        <v>404</v>
      </c>
      <c r="B405" t="s">
        <v>1048</v>
      </c>
      <c r="C405" t="s">
        <v>11</v>
      </c>
      <c r="D405" t="s">
        <v>15</v>
      </c>
      <c r="E405">
        <v>1828524</v>
      </c>
      <c r="F405">
        <v>0.115</v>
      </c>
      <c r="G405">
        <v>20</v>
      </c>
      <c r="H405" t="s">
        <v>11</v>
      </c>
      <c r="I405">
        <v>15</v>
      </c>
      <c r="J405" t="s">
        <v>1049</v>
      </c>
    </row>
    <row r="406" spans="1:10" x14ac:dyDescent="0.3">
      <c r="A406">
        <v>405</v>
      </c>
      <c r="B406" t="s">
        <v>1050</v>
      </c>
      <c r="C406" t="s">
        <v>11</v>
      </c>
      <c r="D406" t="s">
        <v>15</v>
      </c>
      <c r="E406">
        <v>2187327</v>
      </c>
      <c r="F406">
        <v>0.107</v>
      </c>
      <c r="G406">
        <v>30</v>
      </c>
      <c r="H406" t="s">
        <v>11</v>
      </c>
      <c r="I406">
        <v>10</v>
      </c>
    </row>
    <row r="407" spans="1:10" x14ac:dyDescent="0.3">
      <c r="A407">
        <v>406</v>
      </c>
      <c r="B407" t="s">
        <v>1051</v>
      </c>
      <c r="C407" t="s">
        <v>11</v>
      </c>
      <c r="D407" t="s">
        <v>15</v>
      </c>
      <c r="E407">
        <v>1703716</v>
      </c>
      <c r="F407">
        <v>0.10199999999999999</v>
      </c>
      <c r="G407">
        <v>30</v>
      </c>
      <c r="H407" t="s">
        <v>11</v>
      </c>
      <c r="I407">
        <v>3</v>
      </c>
    </row>
    <row r="408" spans="1:10" x14ac:dyDescent="0.3">
      <c r="A408">
        <v>407</v>
      </c>
      <c r="B408" t="s">
        <v>1052</v>
      </c>
      <c r="C408" t="s">
        <v>11</v>
      </c>
      <c r="D408" t="s">
        <v>15</v>
      </c>
      <c r="E408">
        <v>583584</v>
      </c>
      <c r="F408">
        <v>9.1999999999999998E-2</v>
      </c>
      <c r="G408">
        <v>10</v>
      </c>
      <c r="H408" t="s">
        <v>1053</v>
      </c>
      <c r="I408">
        <v>0</v>
      </c>
      <c r="J408" t="s">
        <v>1054</v>
      </c>
    </row>
    <row r="409" spans="1:10" x14ac:dyDescent="0.3">
      <c r="A409">
        <v>408</v>
      </c>
      <c r="B409" t="s">
        <v>1055</v>
      </c>
      <c r="C409" t="s">
        <v>559</v>
      </c>
      <c r="D409" t="s">
        <v>1056</v>
      </c>
      <c r="E409">
        <v>1863246</v>
      </c>
      <c r="F409">
        <v>0.10299999999999999</v>
      </c>
      <c r="G409">
        <v>10</v>
      </c>
      <c r="H409" t="s">
        <v>11</v>
      </c>
      <c r="I409">
        <v>4</v>
      </c>
      <c r="J409" t="s">
        <v>1057</v>
      </c>
    </row>
    <row r="410" spans="1:10" x14ac:dyDescent="0.3">
      <c r="A410">
        <v>409</v>
      </c>
      <c r="B410" t="s">
        <v>1058</v>
      </c>
      <c r="C410" t="s">
        <v>215</v>
      </c>
      <c r="D410" t="s">
        <v>1059</v>
      </c>
      <c r="E410">
        <v>2000558</v>
      </c>
      <c r="F410">
        <v>9.4E-2</v>
      </c>
      <c r="G410">
        <v>15</v>
      </c>
      <c r="H410" t="s">
        <v>343</v>
      </c>
      <c r="I410">
        <v>1</v>
      </c>
      <c r="J410" t="s">
        <v>1060</v>
      </c>
    </row>
    <row r="411" spans="1:10" x14ac:dyDescent="0.3">
      <c r="A411">
        <v>410</v>
      </c>
      <c r="B411" t="s">
        <v>1061</v>
      </c>
      <c r="C411" t="s">
        <v>11</v>
      </c>
      <c r="D411" t="s">
        <v>15</v>
      </c>
      <c r="E411">
        <v>2342309</v>
      </c>
      <c r="F411">
        <v>0.106</v>
      </c>
      <c r="G411">
        <v>20</v>
      </c>
      <c r="H411" t="s">
        <v>11</v>
      </c>
      <c r="I411">
        <v>12</v>
      </c>
    </row>
    <row r="412" spans="1:10" x14ac:dyDescent="0.3">
      <c r="A412">
        <v>411</v>
      </c>
      <c r="B412" t="s">
        <v>1062</v>
      </c>
      <c r="C412" t="s">
        <v>11</v>
      </c>
      <c r="D412" t="s">
        <v>1063</v>
      </c>
      <c r="E412">
        <v>744839</v>
      </c>
      <c r="F412">
        <v>0.10199999999999999</v>
      </c>
      <c r="G412">
        <v>15</v>
      </c>
      <c r="H412" t="s">
        <v>1064</v>
      </c>
      <c r="I412">
        <v>1</v>
      </c>
      <c r="J412" t="s">
        <v>1065</v>
      </c>
    </row>
    <row r="413" spans="1:10" x14ac:dyDescent="0.3">
      <c r="A413">
        <v>412</v>
      </c>
      <c r="B413" t="s">
        <v>1066</v>
      </c>
      <c r="C413" t="s">
        <v>11</v>
      </c>
      <c r="D413" t="s">
        <v>1067</v>
      </c>
      <c r="E413">
        <v>530928</v>
      </c>
      <c r="F413">
        <v>0.10199999999999999</v>
      </c>
      <c r="G413">
        <v>25</v>
      </c>
      <c r="H413" t="s">
        <v>235</v>
      </c>
      <c r="I413">
        <v>13</v>
      </c>
    </row>
    <row r="414" spans="1:10" x14ac:dyDescent="0.3">
      <c r="A414">
        <v>413</v>
      </c>
      <c r="B414" t="s">
        <v>1068</v>
      </c>
      <c r="C414" t="s">
        <v>11</v>
      </c>
      <c r="D414" t="s">
        <v>15</v>
      </c>
      <c r="E414">
        <v>1723585</v>
      </c>
      <c r="F414">
        <v>9.5000000000000001E-2</v>
      </c>
      <c r="G414">
        <v>30</v>
      </c>
      <c r="H414" t="s">
        <v>1069</v>
      </c>
      <c r="I414">
        <v>9</v>
      </c>
      <c r="J414" t="s">
        <v>1070</v>
      </c>
    </row>
    <row r="415" spans="1:10" x14ac:dyDescent="0.3">
      <c r="A415">
        <v>414</v>
      </c>
      <c r="B415" t="s">
        <v>1071</v>
      </c>
      <c r="C415" t="s">
        <v>11</v>
      </c>
      <c r="D415" t="s">
        <v>1072</v>
      </c>
      <c r="E415">
        <v>1455300</v>
      </c>
      <c r="F415">
        <v>0.113</v>
      </c>
      <c r="G415">
        <v>20</v>
      </c>
      <c r="H415" t="s">
        <v>11</v>
      </c>
      <c r="I415">
        <v>3</v>
      </c>
    </row>
    <row r="416" spans="1:10" x14ac:dyDescent="0.3">
      <c r="A416">
        <v>415</v>
      </c>
      <c r="B416" t="s">
        <v>1073</v>
      </c>
      <c r="C416" t="s">
        <v>11</v>
      </c>
      <c r="D416" t="s">
        <v>1074</v>
      </c>
      <c r="E416">
        <v>696020</v>
      </c>
      <c r="F416">
        <v>0.11600000000000001</v>
      </c>
      <c r="G416">
        <v>15</v>
      </c>
      <c r="H416" t="s">
        <v>11</v>
      </c>
      <c r="I416">
        <v>0</v>
      </c>
    </row>
    <row r="417" spans="1:10" x14ac:dyDescent="0.3">
      <c r="A417">
        <v>416</v>
      </c>
      <c r="B417" t="s">
        <v>1075</v>
      </c>
      <c r="C417" t="s">
        <v>1076</v>
      </c>
      <c r="D417" t="s">
        <v>15</v>
      </c>
      <c r="E417">
        <v>1935313</v>
      </c>
      <c r="F417">
        <v>0.106</v>
      </c>
      <c r="G417">
        <v>30</v>
      </c>
      <c r="H417" t="s">
        <v>310</v>
      </c>
      <c r="I417">
        <v>0</v>
      </c>
    </row>
    <row r="418" spans="1:10" x14ac:dyDescent="0.3">
      <c r="A418">
        <v>417</v>
      </c>
      <c r="B418" t="s">
        <v>1077</v>
      </c>
      <c r="C418" t="s">
        <v>367</v>
      </c>
      <c r="D418" t="s">
        <v>1078</v>
      </c>
      <c r="E418">
        <v>2336756</v>
      </c>
      <c r="F418">
        <v>0.11</v>
      </c>
      <c r="G418">
        <v>10</v>
      </c>
      <c r="H418" t="s">
        <v>11</v>
      </c>
      <c r="I418">
        <v>8</v>
      </c>
      <c r="J418" t="s">
        <v>1079</v>
      </c>
    </row>
    <row r="419" spans="1:10" x14ac:dyDescent="0.3">
      <c r="A419">
        <v>418</v>
      </c>
      <c r="B419" t="s">
        <v>1080</v>
      </c>
      <c r="C419" t="s">
        <v>11</v>
      </c>
      <c r="D419" t="s">
        <v>1081</v>
      </c>
      <c r="E419">
        <v>1955105</v>
      </c>
      <c r="F419">
        <v>0.10299999999999999</v>
      </c>
      <c r="G419">
        <v>15</v>
      </c>
      <c r="H419" t="s">
        <v>588</v>
      </c>
      <c r="I419">
        <v>14</v>
      </c>
    </row>
    <row r="420" spans="1:10" x14ac:dyDescent="0.3">
      <c r="A420">
        <v>419</v>
      </c>
      <c r="B420" t="s">
        <v>1082</v>
      </c>
      <c r="C420" t="s">
        <v>141</v>
      </c>
      <c r="D420" t="s">
        <v>1083</v>
      </c>
      <c r="E420">
        <v>1171746</v>
      </c>
      <c r="F420">
        <v>0.10299999999999999</v>
      </c>
      <c r="G420">
        <v>15</v>
      </c>
      <c r="H420" t="s">
        <v>1084</v>
      </c>
      <c r="I420">
        <v>15</v>
      </c>
      <c r="J420" t="s">
        <v>1085</v>
      </c>
    </row>
    <row r="421" spans="1:10" x14ac:dyDescent="0.3">
      <c r="A421">
        <v>420</v>
      </c>
      <c r="B421" t="s">
        <v>1086</v>
      </c>
      <c r="C421" t="s">
        <v>11</v>
      </c>
      <c r="D421" t="s">
        <v>15</v>
      </c>
      <c r="E421">
        <v>649570</v>
      </c>
      <c r="F421">
        <v>0.112</v>
      </c>
      <c r="G421">
        <v>30</v>
      </c>
      <c r="H421" t="s">
        <v>11</v>
      </c>
      <c r="I421">
        <v>13</v>
      </c>
    </row>
    <row r="422" spans="1:10" x14ac:dyDescent="0.3">
      <c r="A422">
        <v>421</v>
      </c>
      <c r="B422" t="s">
        <v>1087</v>
      </c>
      <c r="C422" t="s">
        <v>11</v>
      </c>
      <c r="D422" t="s">
        <v>1088</v>
      </c>
      <c r="E422">
        <v>1132381</v>
      </c>
      <c r="F422">
        <v>0.10299999999999999</v>
      </c>
      <c r="G422">
        <v>25</v>
      </c>
      <c r="H422" t="s">
        <v>11</v>
      </c>
      <c r="I422">
        <v>6</v>
      </c>
      <c r="J422" t="s">
        <v>1089</v>
      </c>
    </row>
    <row r="423" spans="1:10" x14ac:dyDescent="0.3">
      <c r="A423">
        <v>422</v>
      </c>
      <c r="B423" t="s">
        <v>1090</v>
      </c>
      <c r="C423" t="s">
        <v>817</v>
      </c>
      <c r="D423" t="s">
        <v>1091</v>
      </c>
      <c r="E423">
        <v>1411289</v>
      </c>
      <c r="F423">
        <v>0.115</v>
      </c>
      <c r="G423">
        <v>10</v>
      </c>
      <c r="H423" t="s">
        <v>11</v>
      </c>
      <c r="I423">
        <v>5</v>
      </c>
      <c r="J423" t="s">
        <v>1092</v>
      </c>
    </row>
    <row r="424" spans="1:10" x14ac:dyDescent="0.3">
      <c r="A424">
        <v>423</v>
      </c>
      <c r="B424" t="s">
        <v>1093</v>
      </c>
      <c r="C424" t="s">
        <v>11</v>
      </c>
      <c r="D424" t="s">
        <v>15</v>
      </c>
      <c r="E424">
        <v>1889201</v>
      </c>
      <c r="F424">
        <v>0.113</v>
      </c>
      <c r="G424">
        <v>10</v>
      </c>
      <c r="H424" t="s">
        <v>143</v>
      </c>
      <c r="I424">
        <v>8</v>
      </c>
      <c r="J424" t="s">
        <v>1094</v>
      </c>
    </row>
    <row r="425" spans="1:10" x14ac:dyDescent="0.3">
      <c r="A425">
        <v>424</v>
      </c>
      <c r="B425" t="s">
        <v>1095</v>
      </c>
      <c r="C425" t="s">
        <v>59</v>
      </c>
      <c r="D425" t="s">
        <v>15</v>
      </c>
      <c r="E425">
        <v>896008</v>
      </c>
      <c r="F425">
        <v>9.9000000000000005E-2</v>
      </c>
      <c r="G425">
        <v>25</v>
      </c>
      <c r="H425" t="s">
        <v>11</v>
      </c>
      <c r="I425">
        <v>0</v>
      </c>
    </row>
    <row r="426" spans="1:10" x14ac:dyDescent="0.3">
      <c r="A426">
        <v>425</v>
      </c>
      <c r="B426" t="s">
        <v>1096</v>
      </c>
      <c r="C426" t="s">
        <v>11</v>
      </c>
      <c r="D426" t="s">
        <v>1097</v>
      </c>
      <c r="E426">
        <v>1106504</v>
      </c>
      <c r="F426">
        <v>0.108</v>
      </c>
      <c r="G426">
        <v>30</v>
      </c>
      <c r="H426" t="s">
        <v>11</v>
      </c>
      <c r="I426">
        <v>12</v>
      </c>
    </row>
    <row r="427" spans="1:10" x14ac:dyDescent="0.3">
      <c r="A427">
        <v>426</v>
      </c>
      <c r="B427" t="s">
        <v>1098</v>
      </c>
      <c r="C427" t="s">
        <v>766</v>
      </c>
      <c r="D427" t="s">
        <v>15</v>
      </c>
      <c r="E427">
        <v>878177</v>
      </c>
      <c r="F427">
        <v>8.5999999999999993E-2</v>
      </c>
      <c r="G427">
        <v>30</v>
      </c>
      <c r="H427" t="s">
        <v>11</v>
      </c>
      <c r="I427">
        <v>5</v>
      </c>
    </row>
    <row r="428" spans="1:10" x14ac:dyDescent="0.3">
      <c r="A428">
        <v>427</v>
      </c>
      <c r="B428" t="s">
        <v>1099</v>
      </c>
      <c r="C428" t="s">
        <v>520</v>
      </c>
      <c r="D428" t="s">
        <v>1100</v>
      </c>
      <c r="E428">
        <v>1591230</v>
      </c>
      <c r="F428">
        <v>0.11799999999999999</v>
      </c>
      <c r="G428">
        <v>25</v>
      </c>
      <c r="H428" t="s">
        <v>11</v>
      </c>
      <c r="I428">
        <v>1</v>
      </c>
    </row>
    <row r="429" spans="1:10" x14ac:dyDescent="0.3">
      <c r="A429">
        <v>428</v>
      </c>
      <c r="B429" t="s">
        <v>1101</v>
      </c>
      <c r="C429" t="s">
        <v>40</v>
      </c>
      <c r="D429" t="s">
        <v>15</v>
      </c>
      <c r="E429">
        <v>621879</v>
      </c>
      <c r="F429">
        <v>0.10299999999999999</v>
      </c>
      <c r="G429">
        <v>30</v>
      </c>
      <c r="H429" t="s">
        <v>481</v>
      </c>
      <c r="I429">
        <v>9</v>
      </c>
      <c r="J429" t="s">
        <v>1102</v>
      </c>
    </row>
    <row r="430" spans="1:10" x14ac:dyDescent="0.3">
      <c r="A430">
        <v>429</v>
      </c>
      <c r="B430" t="s">
        <v>1103</v>
      </c>
      <c r="C430" t="s">
        <v>120</v>
      </c>
      <c r="D430" t="s">
        <v>1104</v>
      </c>
      <c r="E430">
        <v>1844449</v>
      </c>
      <c r="F430">
        <v>9.6000000000000002E-2</v>
      </c>
      <c r="G430">
        <v>30</v>
      </c>
      <c r="H430" t="s">
        <v>11</v>
      </c>
      <c r="I430">
        <v>1</v>
      </c>
    </row>
    <row r="431" spans="1:10" x14ac:dyDescent="0.3">
      <c r="A431">
        <v>430</v>
      </c>
      <c r="B431" t="s">
        <v>1105</v>
      </c>
      <c r="C431" t="s">
        <v>1076</v>
      </c>
      <c r="D431" t="s">
        <v>15</v>
      </c>
      <c r="E431">
        <v>1596360</v>
      </c>
      <c r="F431">
        <v>0.114</v>
      </c>
      <c r="G431">
        <v>25</v>
      </c>
      <c r="H431" t="s">
        <v>11</v>
      </c>
      <c r="I431">
        <v>9</v>
      </c>
      <c r="J431" t="s">
        <v>1106</v>
      </c>
    </row>
    <row r="432" spans="1:10" x14ac:dyDescent="0.3">
      <c r="A432">
        <v>431</v>
      </c>
      <c r="B432" t="s">
        <v>1107</v>
      </c>
      <c r="C432" t="s">
        <v>435</v>
      </c>
      <c r="D432" t="s">
        <v>15</v>
      </c>
      <c r="E432">
        <v>2135983</v>
      </c>
      <c r="F432">
        <v>9.2999999999999999E-2</v>
      </c>
      <c r="G432">
        <v>10</v>
      </c>
      <c r="H432" t="s">
        <v>235</v>
      </c>
      <c r="I432">
        <v>11</v>
      </c>
      <c r="J432" t="s">
        <v>1108</v>
      </c>
    </row>
    <row r="433" spans="1:10" x14ac:dyDescent="0.3">
      <c r="A433">
        <v>432</v>
      </c>
      <c r="B433" t="s">
        <v>1109</v>
      </c>
      <c r="C433" t="s">
        <v>11</v>
      </c>
      <c r="D433" t="s">
        <v>1110</v>
      </c>
      <c r="E433">
        <v>528781</v>
      </c>
      <c r="F433">
        <v>0.107</v>
      </c>
      <c r="G433">
        <v>15</v>
      </c>
      <c r="H433" t="s">
        <v>11</v>
      </c>
      <c r="I433">
        <v>1</v>
      </c>
      <c r="J433" t="s">
        <v>1111</v>
      </c>
    </row>
    <row r="434" spans="1:10" x14ac:dyDescent="0.3">
      <c r="A434">
        <v>433</v>
      </c>
      <c r="B434" t="s">
        <v>1112</v>
      </c>
      <c r="C434" t="s">
        <v>1113</v>
      </c>
      <c r="D434" t="s">
        <v>1114</v>
      </c>
      <c r="E434">
        <v>827238</v>
      </c>
      <c r="F434">
        <v>0.114</v>
      </c>
      <c r="G434">
        <v>30</v>
      </c>
      <c r="H434" t="s">
        <v>1115</v>
      </c>
      <c r="I434">
        <v>9</v>
      </c>
      <c r="J434" t="s">
        <v>1116</v>
      </c>
    </row>
    <row r="435" spans="1:10" x14ac:dyDescent="0.3">
      <c r="A435">
        <v>434</v>
      </c>
      <c r="B435" t="s">
        <v>1117</v>
      </c>
      <c r="C435" t="s">
        <v>11</v>
      </c>
      <c r="D435" t="s">
        <v>1118</v>
      </c>
      <c r="E435">
        <v>581956</v>
      </c>
      <c r="F435">
        <v>0.113</v>
      </c>
      <c r="G435">
        <v>25</v>
      </c>
      <c r="H435" t="s">
        <v>11</v>
      </c>
      <c r="I435">
        <v>13</v>
      </c>
      <c r="J435" t="s">
        <v>1119</v>
      </c>
    </row>
    <row r="436" spans="1:10" x14ac:dyDescent="0.3">
      <c r="A436">
        <v>435</v>
      </c>
      <c r="B436" t="s">
        <v>1120</v>
      </c>
      <c r="C436" t="s">
        <v>88</v>
      </c>
      <c r="D436" t="s">
        <v>1121</v>
      </c>
      <c r="E436">
        <v>1006934</v>
      </c>
      <c r="F436">
        <v>0.114</v>
      </c>
      <c r="G436">
        <v>25</v>
      </c>
      <c r="H436" t="s">
        <v>481</v>
      </c>
      <c r="I436">
        <v>1</v>
      </c>
      <c r="J436" t="s">
        <v>1122</v>
      </c>
    </row>
    <row r="437" spans="1:10" x14ac:dyDescent="0.3">
      <c r="A437">
        <v>436</v>
      </c>
      <c r="B437" t="s">
        <v>1123</v>
      </c>
      <c r="C437" t="s">
        <v>766</v>
      </c>
      <c r="D437" t="s">
        <v>1124</v>
      </c>
      <c r="E437">
        <v>2055166</v>
      </c>
      <c r="F437">
        <v>8.1000000000000003E-2</v>
      </c>
      <c r="G437">
        <v>20</v>
      </c>
      <c r="H437" t="s">
        <v>11</v>
      </c>
      <c r="I437">
        <v>10</v>
      </c>
      <c r="J437" t="s">
        <v>1125</v>
      </c>
    </row>
    <row r="438" spans="1:10" x14ac:dyDescent="0.3">
      <c r="A438">
        <v>437</v>
      </c>
      <c r="B438" t="s">
        <v>1126</v>
      </c>
      <c r="C438" t="s">
        <v>817</v>
      </c>
      <c r="D438" t="s">
        <v>1127</v>
      </c>
      <c r="E438">
        <v>2221377</v>
      </c>
      <c r="F438">
        <v>0.109</v>
      </c>
      <c r="G438">
        <v>10</v>
      </c>
      <c r="H438" t="s">
        <v>1128</v>
      </c>
      <c r="I438">
        <v>0</v>
      </c>
      <c r="J438" t="s">
        <v>1129</v>
      </c>
    </row>
    <row r="439" spans="1:10" x14ac:dyDescent="0.3">
      <c r="A439">
        <v>438</v>
      </c>
      <c r="B439" t="s">
        <v>1130</v>
      </c>
      <c r="C439" t="s">
        <v>646</v>
      </c>
      <c r="D439" t="s">
        <v>15</v>
      </c>
      <c r="E439">
        <v>1696174</v>
      </c>
      <c r="F439">
        <v>9.0999999999999998E-2</v>
      </c>
      <c r="G439">
        <v>25</v>
      </c>
      <c r="H439" t="s">
        <v>11</v>
      </c>
      <c r="I439">
        <v>1</v>
      </c>
    </row>
    <row r="440" spans="1:10" x14ac:dyDescent="0.3">
      <c r="A440">
        <v>439</v>
      </c>
      <c r="B440" t="s">
        <v>1131</v>
      </c>
      <c r="C440" t="s">
        <v>11</v>
      </c>
      <c r="D440" t="s">
        <v>1132</v>
      </c>
      <c r="E440">
        <v>1131899</v>
      </c>
      <c r="F440">
        <v>9.2999999999999999E-2</v>
      </c>
      <c r="G440">
        <v>30</v>
      </c>
      <c r="H440" t="s">
        <v>11</v>
      </c>
      <c r="I440">
        <v>0</v>
      </c>
      <c r="J440" t="s">
        <v>1133</v>
      </c>
    </row>
    <row r="441" spans="1:10" x14ac:dyDescent="0.3">
      <c r="A441">
        <v>440</v>
      </c>
      <c r="B441" t="s">
        <v>1134</v>
      </c>
      <c r="C441" t="s">
        <v>11</v>
      </c>
      <c r="D441" t="s">
        <v>15</v>
      </c>
      <c r="E441">
        <v>2362569</v>
      </c>
      <c r="F441">
        <v>0.11700000000000001</v>
      </c>
      <c r="G441">
        <v>20</v>
      </c>
      <c r="H441" t="s">
        <v>11</v>
      </c>
      <c r="I441">
        <v>13</v>
      </c>
    </row>
    <row r="442" spans="1:10" x14ac:dyDescent="0.3">
      <c r="A442">
        <v>441</v>
      </c>
      <c r="B442" t="s">
        <v>1135</v>
      </c>
      <c r="C442" t="s">
        <v>11</v>
      </c>
      <c r="D442" t="s">
        <v>1136</v>
      </c>
      <c r="E442">
        <v>2342948</v>
      </c>
      <c r="F442">
        <v>0.1</v>
      </c>
      <c r="G442">
        <v>25</v>
      </c>
      <c r="H442" t="s">
        <v>1137</v>
      </c>
      <c r="I442">
        <v>6</v>
      </c>
    </row>
    <row r="443" spans="1:10" x14ac:dyDescent="0.3">
      <c r="A443">
        <v>442</v>
      </c>
      <c r="B443" t="s">
        <v>1138</v>
      </c>
      <c r="C443" t="s">
        <v>1113</v>
      </c>
      <c r="D443" t="s">
        <v>1139</v>
      </c>
      <c r="E443">
        <v>2148783</v>
      </c>
      <c r="F443">
        <v>0.111</v>
      </c>
      <c r="G443">
        <v>25</v>
      </c>
      <c r="H443" t="s">
        <v>11</v>
      </c>
      <c r="I443">
        <v>1</v>
      </c>
    </row>
    <row r="444" spans="1:10" x14ac:dyDescent="0.3">
      <c r="A444">
        <v>443</v>
      </c>
      <c r="B444" t="s">
        <v>1140</v>
      </c>
      <c r="C444" t="s">
        <v>11</v>
      </c>
      <c r="D444" t="s">
        <v>1141</v>
      </c>
      <c r="E444">
        <v>2277785</v>
      </c>
      <c r="F444">
        <v>8.6999999999999994E-2</v>
      </c>
      <c r="G444">
        <v>20</v>
      </c>
      <c r="H444" t="s">
        <v>11</v>
      </c>
      <c r="I444">
        <v>2</v>
      </c>
      <c r="J444" t="s">
        <v>1142</v>
      </c>
    </row>
    <row r="445" spans="1:10" x14ac:dyDescent="0.3">
      <c r="A445">
        <v>444</v>
      </c>
      <c r="B445" t="s">
        <v>1143</v>
      </c>
      <c r="C445" t="s">
        <v>11</v>
      </c>
      <c r="D445" t="s">
        <v>15</v>
      </c>
      <c r="E445">
        <v>907153</v>
      </c>
      <c r="F445">
        <v>9.5000000000000001E-2</v>
      </c>
      <c r="G445">
        <v>30</v>
      </c>
      <c r="H445" t="s">
        <v>11</v>
      </c>
      <c r="I445">
        <v>15</v>
      </c>
      <c r="J445" t="s">
        <v>1144</v>
      </c>
    </row>
    <row r="446" spans="1:10" x14ac:dyDescent="0.3">
      <c r="A446">
        <v>445</v>
      </c>
      <c r="B446" t="s">
        <v>1145</v>
      </c>
      <c r="C446" t="s">
        <v>202</v>
      </c>
      <c r="D446" t="s">
        <v>1146</v>
      </c>
      <c r="E446">
        <v>1666742</v>
      </c>
      <c r="F446">
        <v>8.8999999999999996E-2</v>
      </c>
      <c r="G446">
        <v>25</v>
      </c>
      <c r="H446" t="s">
        <v>11</v>
      </c>
      <c r="I446">
        <v>12</v>
      </c>
    </row>
    <row r="447" spans="1:10" x14ac:dyDescent="0.3">
      <c r="A447">
        <v>446</v>
      </c>
      <c r="B447" t="s">
        <v>1147</v>
      </c>
      <c r="C447" t="s">
        <v>11</v>
      </c>
      <c r="D447" t="s">
        <v>1148</v>
      </c>
      <c r="E447">
        <v>986649</v>
      </c>
      <c r="F447">
        <v>0.109</v>
      </c>
      <c r="G447">
        <v>25</v>
      </c>
      <c r="H447" t="s">
        <v>11</v>
      </c>
      <c r="I447">
        <v>12</v>
      </c>
    </row>
    <row r="448" spans="1:10" x14ac:dyDescent="0.3">
      <c r="A448">
        <v>447</v>
      </c>
      <c r="B448" t="s">
        <v>1149</v>
      </c>
      <c r="C448" t="s">
        <v>120</v>
      </c>
      <c r="D448" t="s">
        <v>1150</v>
      </c>
      <c r="E448">
        <v>1697288</v>
      </c>
      <c r="F448">
        <v>9.9000000000000005E-2</v>
      </c>
      <c r="G448">
        <v>10</v>
      </c>
      <c r="H448" t="s">
        <v>11</v>
      </c>
      <c r="I448">
        <v>5</v>
      </c>
      <c r="J448" t="s">
        <v>1151</v>
      </c>
    </row>
    <row r="449" spans="1:10" x14ac:dyDescent="0.3">
      <c r="A449">
        <v>448</v>
      </c>
      <c r="B449" t="s">
        <v>1152</v>
      </c>
      <c r="C449" t="s">
        <v>11</v>
      </c>
      <c r="D449" t="s">
        <v>1153</v>
      </c>
      <c r="E449">
        <v>2297891</v>
      </c>
      <c r="F449">
        <v>0.10299999999999999</v>
      </c>
      <c r="G449">
        <v>25</v>
      </c>
      <c r="H449" t="s">
        <v>11</v>
      </c>
      <c r="I449">
        <v>12</v>
      </c>
    </row>
    <row r="450" spans="1:10" x14ac:dyDescent="0.3">
      <c r="A450">
        <v>449</v>
      </c>
      <c r="B450" t="s">
        <v>1154</v>
      </c>
      <c r="C450" t="s">
        <v>11</v>
      </c>
      <c r="D450" t="s">
        <v>1155</v>
      </c>
      <c r="E450">
        <v>1591205</v>
      </c>
      <c r="F450">
        <v>8.2000000000000003E-2</v>
      </c>
      <c r="G450">
        <v>20</v>
      </c>
      <c r="H450" t="s">
        <v>11</v>
      </c>
      <c r="I450">
        <v>8</v>
      </c>
    </row>
    <row r="451" spans="1:10" x14ac:dyDescent="0.3">
      <c r="A451">
        <v>450</v>
      </c>
      <c r="B451" t="s">
        <v>1156</v>
      </c>
      <c r="C451" t="s">
        <v>11</v>
      </c>
      <c r="D451" t="s">
        <v>15</v>
      </c>
      <c r="E451">
        <v>586262</v>
      </c>
      <c r="F451">
        <v>0.106</v>
      </c>
      <c r="G451">
        <v>20</v>
      </c>
      <c r="H451" t="s">
        <v>11</v>
      </c>
      <c r="I451">
        <v>11</v>
      </c>
      <c r="J451" t="s">
        <v>1157</v>
      </c>
    </row>
    <row r="452" spans="1:10" x14ac:dyDescent="0.3">
      <c r="A452">
        <v>451</v>
      </c>
      <c r="B452" t="s">
        <v>1158</v>
      </c>
      <c r="C452" t="s">
        <v>11</v>
      </c>
      <c r="D452" t="s">
        <v>15</v>
      </c>
      <c r="E452">
        <v>1387174</v>
      </c>
      <c r="F452">
        <v>0.112</v>
      </c>
      <c r="G452">
        <v>25</v>
      </c>
      <c r="H452" t="s">
        <v>1159</v>
      </c>
      <c r="I452">
        <v>4</v>
      </c>
      <c r="J452" t="s">
        <v>1160</v>
      </c>
    </row>
    <row r="453" spans="1:10" x14ac:dyDescent="0.3">
      <c r="A453">
        <v>452</v>
      </c>
      <c r="B453" t="s">
        <v>1161</v>
      </c>
      <c r="C453" t="s">
        <v>11</v>
      </c>
      <c r="D453" t="s">
        <v>15</v>
      </c>
      <c r="E453">
        <v>1052028</v>
      </c>
      <c r="F453">
        <v>0.11600000000000001</v>
      </c>
      <c r="G453">
        <v>20</v>
      </c>
      <c r="H453" t="s">
        <v>11</v>
      </c>
      <c r="I453">
        <v>0</v>
      </c>
      <c r="J453" t="s">
        <v>481</v>
      </c>
    </row>
    <row r="454" spans="1:10" x14ac:dyDescent="0.3">
      <c r="A454">
        <v>453</v>
      </c>
      <c r="B454" t="s">
        <v>1162</v>
      </c>
      <c r="C454" t="s">
        <v>11</v>
      </c>
      <c r="D454" t="s">
        <v>15</v>
      </c>
      <c r="E454">
        <v>1037663</v>
      </c>
      <c r="F454">
        <v>0.10299999999999999</v>
      </c>
      <c r="G454">
        <v>15</v>
      </c>
      <c r="H454" t="s">
        <v>11</v>
      </c>
      <c r="I454">
        <v>10</v>
      </c>
      <c r="J454" t="s">
        <v>1163</v>
      </c>
    </row>
    <row r="455" spans="1:10" x14ac:dyDescent="0.3">
      <c r="A455">
        <v>454</v>
      </c>
      <c r="B455" t="s">
        <v>1164</v>
      </c>
      <c r="C455" t="s">
        <v>367</v>
      </c>
      <c r="D455" t="s">
        <v>15</v>
      </c>
      <c r="E455">
        <v>517472</v>
      </c>
      <c r="F455">
        <v>0.11600000000000001</v>
      </c>
      <c r="G455">
        <v>25</v>
      </c>
      <c r="H455" t="s">
        <v>11</v>
      </c>
      <c r="I455">
        <v>0</v>
      </c>
      <c r="J455" t="s">
        <v>1165</v>
      </c>
    </row>
    <row r="456" spans="1:10" x14ac:dyDescent="0.3">
      <c r="A456">
        <v>455</v>
      </c>
      <c r="B456" t="s">
        <v>1166</v>
      </c>
      <c r="C456" t="s">
        <v>766</v>
      </c>
      <c r="D456" t="s">
        <v>1167</v>
      </c>
      <c r="E456">
        <v>542552</v>
      </c>
      <c r="F456">
        <v>0.107</v>
      </c>
      <c r="G456">
        <v>15</v>
      </c>
      <c r="H456" t="s">
        <v>11</v>
      </c>
      <c r="I456">
        <v>1</v>
      </c>
      <c r="J456" t="s">
        <v>1168</v>
      </c>
    </row>
    <row r="457" spans="1:10" x14ac:dyDescent="0.3">
      <c r="A457">
        <v>456</v>
      </c>
      <c r="B457" t="s">
        <v>1169</v>
      </c>
      <c r="C457" t="s">
        <v>11</v>
      </c>
      <c r="D457" t="s">
        <v>1170</v>
      </c>
      <c r="E457">
        <v>761820</v>
      </c>
      <c r="F457">
        <v>0.09</v>
      </c>
      <c r="G457">
        <v>30</v>
      </c>
      <c r="H457" t="s">
        <v>11</v>
      </c>
      <c r="I457">
        <v>11</v>
      </c>
    </row>
    <row r="458" spans="1:10" x14ac:dyDescent="0.3">
      <c r="A458">
        <v>457</v>
      </c>
      <c r="B458" t="s">
        <v>1171</v>
      </c>
      <c r="C458" t="s">
        <v>11</v>
      </c>
      <c r="D458" t="s">
        <v>1172</v>
      </c>
      <c r="E458">
        <v>1547686</v>
      </c>
      <c r="F458">
        <v>8.7999999999999995E-2</v>
      </c>
      <c r="G458">
        <v>25</v>
      </c>
      <c r="H458" t="s">
        <v>11</v>
      </c>
      <c r="I458">
        <v>9</v>
      </c>
    </row>
    <row r="459" spans="1:10" x14ac:dyDescent="0.3">
      <c r="A459">
        <v>458</v>
      </c>
      <c r="B459" t="s">
        <v>1173</v>
      </c>
      <c r="C459" t="s">
        <v>11</v>
      </c>
      <c r="D459" t="s">
        <v>1174</v>
      </c>
      <c r="E459">
        <v>630320</v>
      </c>
      <c r="F459">
        <v>0.106</v>
      </c>
      <c r="G459">
        <v>30</v>
      </c>
      <c r="H459" t="s">
        <v>11</v>
      </c>
      <c r="I459">
        <v>5</v>
      </c>
      <c r="J459" t="s">
        <v>1175</v>
      </c>
    </row>
    <row r="460" spans="1:10" x14ac:dyDescent="0.3">
      <c r="A460">
        <v>459</v>
      </c>
      <c r="B460" t="s">
        <v>1176</v>
      </c>
      <c r="C460" t="s">
        <v>11</v>
      </c>
      <c r="D460" t="s">
        <v>15</v>
      </c>
      <c r="E460">
        <v>1139112</v>
      </c>
      <c r="F460">
        <v>0.107</v>
      </c>
      <c r="G460">
        <v>25</v>
      </c>
      <c r="H460" t="s">
        <v>11</v>
      </c>
      <c r="I460">
        <v>4</v>
      </c>
      <c r="J460" t="s">
        <v>1177</v>
      </c>
    </row>
    <row r="461" spans="1:10" x14ac:dyDescent="0.3">
      <c r="A461">
        <v>460</v>
      </c>
      <c r="B461" t="s">
        <v>1178</v>
      </c>
      <c r="C461" t="s">
        <v>217</v>
      </c>
      <c r="D461" t="s">
        <v>1179</v>
      </c>
      <c r="E461">
        <v>1248959</v>
      </c>
      <c r="F461">
        <v>9.9000000000000005E-2</v>
      </c>
      <c r="G461">
        <v>15</v>
      </c>
      <c r="H461" t="s">
        <v>11</v>
      </c>
      <c r="I461">
        <v>14</v>
      </c>
      <c r="J461" t="s">
        <v>1180</v>
      </c>
    </row>
    <row r="462" spans="1:10" x14ac:dyDescent="0.3">
      <c r="A462">
        <v>461</v>
      </c>
      <c r="B462" t="s">
        <v>1181</v>
      </c>
      <c r="C462" t="s">
        <v>215</v>
      </c>
      <c r="D462" t="s">
        <v>1182</v>
      </c>
      <c r="E462">
        <v>940760</v>
      </c>
      <c r="F462">
        <v>9.8000000000000004E-2</v>
      </c>
      <c r="G462">
        <v>30</v>
      </c>
      <c r="H462" t="s">
        <v>731</v>
      </c>
      <c r="I462">
        <v>7</v>
      </c>
    </row>
    <row r="463" spans="1:10" x14ac:dyDescent="0.3">
      <c r="A463">
        <v>462</v>
      </c>
      <c r="B463" t="s">
        <v>1183</v>
      </c>
      <c r="C463" t="s">
        <v>11</v>
      </c>
      <c r="D463" t="s">
        <v>1184</v>
      </c>
      <c r="E463">
        <v>1301973</v>
      </c>
      <c r="F463">
        <v>0.11</v>
      </c>
      <c r="G463">
        <v>30</v>
      </c>
      <c r="H463" t="s">
        <v>11</v>
      </c>
      <c r="I463">
        <v>10</v>
      </c>
      <c r="J463" t="s">
        <v>1185</v>
      </c>
    </row>
    <row r="464" spans="1:10" x14ac:dyDescent="0.3">
      <c r="A464">
        <v>463</v>
      </c>
      <c r="B464" t="s">
        <v>1186</v>
      </c>
      <c r="C464" t="s">
        <v>11</v>
      </c>
      <c r="D464" t="s">
        <v>1187</v>
      </c>
      <c r="E464">
        <v>1761103</v>
      </c>
      <c r="F464">
        <v>0.11700000000000001</v>
      </c>
      <c r="G464">
        <v>30</v>
      </c>
      <c r="H464" t="s">
        <v>11</v>
      </c>
      <c r="I464">
        <v>12</v>
      </c>
    </row>
    <row r="465" spans="1:10" x14ac:dyDescent="0.3">
      <c r="A465">
        <v>464</v>
      </c>
      <c r="B465" t="s">
        <v>1188</v>
      </c>
      <c r="C465" t="s">
        <v>11</v>
      </c>
      <c r="D465" t="s">
        <v>1189</v>
      </c>
      <c r="E465">
        <v>785642</v>
      </c>
      <c r="F465">
        <v>0.11</v>
      </c>
      <c r="G465">
        <v>25</v>
      </c>
      <c r="H465" t="s">
        <v>11</v>
      </c>
      <c r="I465">
        <v>9</v>
      </c>
      <c r="J465" t="s">
        <v>1190</v>
      </c>
    </row>
    <row r="466" spans="1:10" x14ac:dyDescent="0.3">
      <c r="A466">
        <v>465</v>
      </c>
      <c r="B466" t="s">
        <v>1191</v>
      </c>
      <c r="C466" t="s">
        <v>468</v>
      </c>
      <c r="D466" t="s">
        <v>15</v>
      </c>
      <c r="E466">
        <v>846317</v>
      </c>
      <c r="F466">
        <v>8.4000000000000005E-2</v>
      </c>
      <c r="G466">
        <v>30</v>
      </c>
      <c r="H466" t="s">
        <v>11</v>
      </c>
      <c r="I466">
        <v>7</v>
      </c>
    </row>
    <row r="467" spans="1:10" x14ac:dyDescent="0.3">
      <c r="A467">
        <v>466</v>
      </c>
      <c r="B467" t="s">
        <v>1192</v>
      </c>
      <c r="C467" t="s">
        <v>371</v>
      </c>
      <c r="D467" t="s">
        <v>1193</v>
      </c>
      <c r="E467">
        <v>2213036</v>
      </c>
      <c r="F467">
        <v>9.6000000000000002E-2</v>
      </c>
      <c r="G467">
        <v>30</v>
      </c>
      <c r="H467" t="s">
        <v>11</v>
      </c>
      <c r="I467">
        <v>10</v>
      </c>
      <c r="J467" t="s">
        <v>1194</v>
      </c>
    </row>
    <row r="468" spans="1:10" x14ac:dyDescent="0.3">
      <c r="A468">
        <v>467</v>
      </c>
      <c r="B468" t="s">
        <v>1195</v>
      </c>
      <c r="C468" t="s">
        <v>11</v>
      </c>
      <c r="D468" t="s">
        <v>1196</v>
      </c>
      <c r="E468">
        <v>1636204</v>
      </c>
      <c r="F468">
        <v>0.115</v>
      </c>
      <c r="G468">
        <v>15</v>
      </c>
      <c r="H468" t="s">
        <v>981</v>
      </c>
      <c r="I468">
        <v>3</v>
      </c>
      <c r="J468" t="s">
        <v>1197</v>
      </c>
    </row>
    <row r="469" spans="1:10" x14ac:dyDescent="0.3">
      <c r="A469">
        <v>468</v>
      </c>
      <c r="B469" t="s">
        <v>1198</v>
      </c>
      <c r="C469" t="s">
        <v>11</v>
      </c>
      <c r="D469" t="s">
        <v>15</v>
      </c>
      <c r="E469">
        <v>2456783</v>
      </c>
      <c r="F469">
        <v>9.6000000000000002E-2</v>
      </c>
      <c r="G469">
        <v>10</v>
      </c>
      <c r="H469" t="s">
        <v>11</v>
      </c>
      <c r="I469">
        <v>10</v>
      </c>
    </row>
    <row r="470" spans="1:10" x14ac:dyDescent="0.3">
      <c r="A470">
        <v>469</v>
      </c>
      <c r="B470" t="s">
        <v>1199</v>
      </c>
      <c r="C470" t="s">
        <v>520</v>
      </c>
      <c r="D470" t="s">
        <v>1200</v>
      </c>
      <c r="E470">
        <v>967363</v>
      </c>
      <c r="F470">
        <v>0.105</v>
      </c>
      <c r="G470">
        <v>25</v>
      </c>
      <c r="H470" t="s">
        <v>11</v>
      </c>
      <c r="I470">
        <v>1</v>
      </c>
    </row>
    <row r="471" spans="1:10" x14ac:dyDescent="0.3">
      <c r="A471">
        <v>470</v>
      </c>
      <c r="B471" t="s">
        <v>1201</v>
      </c>
      <c r="C471" t="s">
        <v>11</v>
      </c>
      <c r="D471" t="s">
        <v>1202</v>
      </c>
      <c r="E471">
        <v>1784002</v>
      </c>
      <c r="F471">
        <v>0.111</v>
      </c>
      <c r="G471">
        <v>15</v>
      </c>
      <c r="H471" t="s">
        <v>985</v>
      </c>
      <c r="I471">
        <v>12</v>
      </c>
      <c r="J471" t="s">
        <v>1203</v>
      </c>
    </row>
    <row r="472" spans="1:10" x14ac:dyDescent="0.3">
      <c r="A472">
        <v>471</v>
      </c>
      <c r="B472" t="s">
        <v>1204</v>
      </c>
      <c r="C472" t="s">
        <v>11</v>
      </c>
      <c r="D472" t="s">
        <v>15</v>
      </c>
      <c r="E472">
        <v>1189241</v>
      </c>
      <c r="F472">
        <v>8.7999999999999995E-2</v>
      </c>
      <c r="G472">
        <v>15</v>
      </c>
      <c r="H472" t="s">
        <v>11</v>
      </c>
      <c r="I472">
        <v>12</v>
      </c>
      <c r="J472" t="s">
        <v>1205</v>
      </c>
    </row>
    <row r="473" spans="1:10" x14ac:dyDescent="0.3">
      <c r="A473">
        <v>472</v>
      </c>
      <c r="B473" t="s">
        <v>1206</v>
      </c>
      <c r="C473" t="s">
        <v>11</v>
      </c>
      <c r="D473" t="s">
        <v>1207</v>
      </c>
      <c r="E473">
        <v>2116095</v>
      </c>
      <c r="F473">
        <v>8.4000000000000005E-2</v>
      </c>
      <c r="G473">
        <v>30</v>
      </c>
      <c r="H473" t="s">
        <v>1208</v>
      </c>
      <c r="I473">
        <v>4</v>
      </c>
    </row>
    <row r="474" spans="1:10" x14ac:dyDescent="0.3">
      <c r="A474">
        <v>473</v>
      </c>
      <c r="B474" t="s">
        <v>1209</v>
      </c>
      <c r="C474" t="s">
        <v>11</v>
      </c>
      <c r="D474" t="s">
        <v>15</v>
      </c>
      <c r="E474">
        <v>965637</v>
      </c>
      <c r="F474">
        <v>8.2000000000000003E-2</v>
      </c>
      <c r="G474">
        <v>30</v>
      </c>
      <c r="H474" t="s">
        <v>1115</v>
      </c>
      <c r="I474">
        <v>11</v>
      </c>
      <c r="J474" t="s">
        <v>1210</v>
      </c>
    </row>
    <row r="475" spans="1:10" x14ac:dyDescent="0.3">
      <c r="A475">
        <v>474</v>
      </c>
      <c r="B475" t="s">
        <v>1211</v>
      </c>
      <c r="C475" t="s">
        <v>11</v>
      </c>
      <c r="D475" t="s">
        <v>1212</v>
      </c>
      <c r="E475">
        <v>1408382</v>
      </c>
      <c r="F475">
        <v>9.8000000000000004E-2</v>
      </c>
      <c r="G475">
        <v>15</v>
      </c>
      <c r="H475" t="s">
        <v>11</v>
      </c>
      <c r="I475">
        <v>13</v>
      </c>
    </row>
    <row r="476" spans="1:10" x14ac:dyDescent="0.3">
      <c r="A476">
        <v>475</v>
      </c>
      <c r="B476" t="s">
        <v>1213</v>
      </c>
      <c r="C476" t="s">
        <v>523</v>
      </c>
      <c r="D476" t="s">
        <v>1214</v>
      </c>
      <c r="E476">
        <v>2180138</v>
      </c>
      <c r="F476">
        <v>0.109</v>
      </c>
      <c r="G476">
        <v>20</v>
      </c>
      <c r="H476" t="s">
        <v>11</v>
      </c>
      <c r="I476">
        <v>8</v>
      </c>
      <c r="J476" t="s">
        <v>1215</v>
      </c>
    </row>
    <row r="477" spans="1:10" x14ac:dyDescent="0.3">
      <c r="A477">
        <v>476</v>
      </c>
      <c r="B477" t="s">
        <v>1216</v>
      </c>
      <c r="C477" t="s">
        <v>11</v>
      </c>
      <c r="D477" t="s">
        <v>1217</v>
      </c>
      <c r="E477">
        <v>1328735</v>
      </c>
      <c r="F477">
        <v>8.6999999999999994E-2</v>
      </c>
      <c r="G477">
        <v>20</v>
      </c>
      <c r="H477" t="s">
        <v>11</v>
      </c>
      <c r="I477">
        <v>15</v>
      </c>
    </row>
    <row r="478" spans="1:10" x14ac:dyDescent="0.3">
      <c r="A478">
        <v>477</v>
      </c>
      <c r="B478" t="s">
        <v>1218</v>
      </c>
      <c r="C478" t="s">
        <v>11</v>
      </c>
      <c r="D478" t="s">
        <v>1219</v>
      </c>
      <c r="E478">
        <v>2250695</v>
      </c>
      <c r="F478">
        <v>0.109</v>
      </c>
      <c r="G478">
        <v>30</v>
      </c>
      <c r="H478" t="s">
        <v>11</v>
      </c>
      <c r="I478">
        <v>7</v>
      </c>
    </row>
    <row r="479" spans="1:10" x14ac:dyDescent="0.3">
      <c r="A479">
        <v>478</v>
      </c>
      <c r="B479" t="s">
        <v>1220</v>
      </c>
      <c r="C479" t="s">
        <v>11</v>
      </c>
      <c r="D479" t="s">
        <v>1221</v>
      </c>
      <c r="E479">
        <v>1193594</v>
      </c>
      <c r="F479">
        <v>0.09</v>
      </c>
      <c r="G479">
        <v>25</v>
      </c>
      <c r="H479" t="s">
        <v>11</v>
      </c>
      <c r="I479">
        <v>4</v>
      </c>
      <c r="J479" t="s">
        <v>1222</v>
      </c>
    </row>
    <row r="480" spans="1:10" x14ac:dyDescent="0.3">
      <c r="A480">
        <v>479</v>
      </c>
      <c r="B480" t="s">
        <v>1223</v>
      </c>
      <c r="C480" t="s">
        <v>11</v>
      </c>
      <c r="D480" t="s">
        <v>15</v>
      </c>
      <c r="E480">
        <v>1830457</v>
      </c>
      <c r="F480">
        <v>0.107</v>
      </c>
      <c r="G480">
        <v>15</v>
      </c>
      <c r="H480" t="s">
        <v>11</v>
      </c>
      <c r="I480">
        <v>10</v>
      </c>
    </row>
    <row r="481" spans="1:10" x14ac:dyDescent="0.3">
      <c r="A481">
        <v>480</v>
      </c>
      <c r="B481" t="s">
        <v>1224</v>
      </c>
      <c r="C481" t="s">
        <v>262</v>
      </c>
      <c r="D481" t="s">
        <v>1225</v>
      </c>
      <c r="E481">
        <v>2364970</v>
      </c>
      <c r="F481">
        <v>0.11799999999999999</v>
      </c>
      <c r="G481">
        <v>20</v>
      </c>
      <c r="H481" t="s">
        <v>11</v>
      </c>
      <c r="I481">
        <v>8</v>
      </c>
      <c r="J481" t="s">
        <v>1226</v>
      </c>
    </row>
    <row r="482" spans="1:10" x14ac:dyDescent="0.3">
      <c r="A482">
        <v>481</v>
      </c>
      <c r="B482" t="s">
        <v>1227</v>
      </c>
      <c r="C482" t="s">
        <v>11</v>
      </c>
      <c r="D482" t="s">
        <v>15</v>
      </c>
      <c r="E482">
        <v>693125</v>
      </c>
      <c r="F482">
        <v>8.8999999999999996E-2</v>
      </c>
      <c r="G482">
        <v>25</v>
      </c>
      <c r="H482" t="s">
        <v>11</v>
      </c>
      <c r="I482">
        <v>13</v>
      </c>
    </row>
    <row r="483" spans="1:10" x14ac:dyDescent="0.3">
      <c r="A483">
        <v>482</v>
      </c>
      <c r="B483" t="s">
        <v>1228</v>
      </c>
      <c r="C483" t="s">
        <v>11</v>
      </c>
      <c r="D483" t="s">
        <v>1229</v>
      </c>
      <c r="E483">
        <v>1281594</v>
      </c>
      <c r="F483">
        <v>0.105</v>
      </c>
      <c r="G483">
        <v>15</v>
      </c>
      <c r="H483" t="s">
        <v>1230</v>
      </c>
      <c r="I483">
        <v>4</v>
      </c>
    </row>
    <row r="484" spans="1:10" x14ac:dyDescent="0.3">
      <c r="A484">
        <v>483</v>
      </c>
      <c r="B484" t="s">
        <v>1231</v>
      </c>
      <c r="C484" t="s">
        <v>11</v>
      </c>
      <c r="D484" t="s">
        <v>1232</v>
      </c>
      <c r="E484">
        <v>709517</v>
      </c>
      <c r="F484">
        <v>9.2999999999999999E-2</v>
      </c>
      <c r="G484">
        <v>15</v>
      </c>
      <c r="H484" t="s">
        <v>11</v>
      </c>
      <c r="I484">
        <v>2</v>
      </c>
    </row>
    <row r="485" spans="1:10" x14ac:dyDescent="0.3">
      <c r="A485">
        <v>484</v>
      </c>
      <c r="B485" t="s">
        <v>1233</v>
      </c>
      <c r="C485" t="s">
        <v>695</v>
      </c>
      <c r="D485" t="s">
        <v>15</v>
      </c>
      <c r="E485">
        <v>1028813</v>
      </c>
      <c r="F485">
        <v>0.107</v>
      </c>
      <c r="G485">
        <v>20</v>
      </c>
      <c r="H485" t="s">
        <v>11</v>
      </c>
      <c r="I485">
        <v>3</v>
      </c>
    </row>
    <row r="486" spans="1:10" x14ac:dyDescent="0.3">
      <c r="A486">
        <v>485</v>
      </c>
      <c r="B486" t="s">
        <v>1234</v>
      </c>
      <c r="C486" t="s">
        <v>520</v>
      </c>
      <c r="D486" t="s">
        <v>1235</v>
      </c>
      <c r="E486">
        <v>2304137</v>
      </c>
      <c r="F486">
        <v>0.113</v>
      </c>
      <c r="G486">
        <v>15</v>
      </c>
      <c r="H486" t="s">
        <v>11</v>
      </c>
      <c r="I486">
        <v>15</v>
      </c>
    </row>
    <row r="487" spans="1:10" x14ac:dyDescent="0.3">
      <c r="A487">
        <v>486</v>
      </c>
      <c r="B487" t="s">
        <v>1236</v>
      </c>
      <c r="C487" t="s">
        <v>11</v>
      </c>
      <c r="D487" t="s">
        <v>15</v>
      </c>
      <c r="E487">
        <v>816975</v>
      </c>
      <c r="F487">
        <v>8.7999999999999995E-2</v>
      </c>
      <c r="G487">
        <v>30</v>
      </c>
      <c r="H487" t="s">
        <v>11</v>
      </c>
      <c r="I487">
        <v>3</v>
      </c>
      <c r="J487" t="s">
        <v>1237</v>
      </c>
    </row>
    <row r="488" spans="1:10" x14ac:dyDescent="0.3">
      <c r="A488">
        <v>487</v>
      </c>
      <c r="B488" t="s">
        <v>1238</v>
      </c>
      <c r="C488" t="s">
        <v>11</v>
      </c>
      <c r="D488" t="s">
        <v>15</v>
      </c>
      <c r="E488">
        <v>2329777</v>
      </c>
      <c r="F488">
        <v>0.11799999999999999</v>
      </c>
      <c r="G488">
        <v>10</v>
      </c>
      <c r="H488" t="s">
        <v>11</v>
      </c>
      <c r="I488">
        <v>1</v>
      </c>
    </row>
    <row r="489" spans="1:10" x14ac:dyDescent="0.3">
      <c r="A489">
        <v>488</v>
      </c>
      <c r="B489" t="s">
        <v>1239</v>
      </c>
      <c r="C489" t="s">
        <v>367</v>
      </c>
      <c r="D489" t="s">
        <v>1240</v>
      </c>
      <c r="E489">
        <v>1212935</v>
      </c>
      <c r="F489">
        <v>0.11899999999999999</v>
      </c>
      <c r="G489">
        <v>15</v>
      </c>
      <c r="H489" t="s">
        <v>81</v>
      </c>
      <c r="I489">
        <v>2</v>
      </c>
    </row>
    <row r="490" spans="1:10" x14ac:dyDescent="0.3">
      <c r="A490">
        <v>489</v>
      </c>
      <c r="B490" t="s">
        <v>1241</v>
      </c>
      <c r="C490" t="s">
        <v>59</v>
      </c>
      <c r="D490" t="s">
        <v>1242</v>
      </c>
      <c r="E490">
        <v>1326006</v>
      </c>
      <c r="F490">
        <v>8.7999999999999995E-2</v>
      </c>
      <c r="G490">
        <v>15</v>
      </c>
      <c r="H490" t="s">
        <v>11</v>
      </c>
      <c r="I490">
        <v>15</v>
      </c>
      <c r="J490" t="s">
        <v>1243</v>
      </c>
    </row>
    <row r="491" spans="1:10" x14ac:dyDescent="0.3">
      <c r="A491">
        <v>490</v>
      </c>
      <c r="B491" t="s">
        <v>1244</v>
      </c>
      <c r="C491" t="s">
        <v>865</v>
      </c>
      <c r="D491" t="s">
        <v>15</v>
      </c>
      <c r="E491">
        <v>1513755</v>
      </c>
      <c r="F491">
        <v>9.9000000000000005E-2</v>
      </c>
      <c r="G491">
        <v>15</v>
      </c>
      <c r="H491" t="s">
        <v>796</v>
      </c>
      <c r="I491">
        <v>14</v>
      </c>
    </row>
    <row r="492" spans="1:10" x14ac:dyDescent="0.3">
      <c r="A492">
        <v>491</v>
      </c>
      <c r="B492" t="s">
        <v>1245</v>
      </c>
      <c r="C492" t="s">
        <v>1246</v>
      </c>
      <c r="D492" t="s">
        <v>1247</v>
      </c>
      <c r="E492">
        <v>2233030</v>
      </c>
      <c r="F492">
        <v>9.4E-2</v>
      </c>
      <c r="G492">
        <v>20</v>
      </c>
      <c r="H492" t="s">
        <v>11</v>
      </c>
      <c r="I492">
        <v>5</v>
      </c>
      <c r="J492" t="s">
        <v>1248</v>
      </c>
    </row>
    <row r="493" spans="1:10" x14ac:dyDescent="0.3">
      <c r="A493">
        <v>492</v>
      </c>
      <c r="B493" t="s">
        <v>1249</v>
      </c>
      <c r="C493" t="s">
        <v>11</v>
      </c>
      <c r="D493" t="s">
        <v>15</v>
      </c>
      <c r="E493">
        <v>1074609</v>
      </c>
      <c r="F493">
        <v>9.6000000000000002E-2</v>
      </c>
      <c r="G493">
        <v>20</v>
      </c>
      <c r="H493" t="s">
        <v>11</v>
      </c>
      <c r="I493">
        <v>1</v>
      </c>
      <c r="J493" t="s">
        <v>1250</v>
      </c>
    </row>
    <row r="494" spans="1:10" x14ac:dyDescent="0.3">
      <c r="A494">
        <v>493</v>
      </c>
      <c r="B494" t="s">
        <v>1251</v>
      </c>
      <c r="C494" t="s">
        <v>11</v>
      </c>
      <c r="D494" t="s">
        <v>1252</v>
      </c>
      <c r="E494">
        <v>2348749</v>
      </c>
      <c r="F494">
        <v>9.9000000000000005E-2</v>
      </c>
      <c r="G494">
        <v>10</v>
      </c>
      <c r="H494" t="s">
        <v>11</v>
      </c>
      <c r="I494">
        <v>4</v>
      </c>
    </row>
    <row r="495" spans="1:10" x14ac:dyDescent="0.3">
      <c r="A495">
        <v>494</v>
      </c>
      <c r="B495" t="s">
        <v>1253</v>
      </c>
      <c r="C495" t="s">
        <v>11</v>
      </c>
      <c r="D495" t="s">
        <v>15</v>
      </c>
      <c r="E495">
        <v>1695410</v>
      </c>
      <c r="F495">
        <v>8.3000000000000004E-2</v>
      </c>
      <c r="G495">
        <v>30</v>
      </c>
      <c r="H495" t="s">
        <v>11</v>
      </c>
      <c r="I495">
        <v>1</v>
      </c>
      <c r="J495" t="s">
        <v>1254</v>
      </c>
    </row>
    <row r="496" spans="1:10" x14ac:dyDescent="0.3">
      <c r="A496">
        <v>495</v>
      </c>
      <c r="B496" t="s">
        <v>1255</v>
      </c>
      <c r="C496" t="s">
        <v>411</v>
      </c>
      <c r="D496" t="s">
        <v>1256</v>
      </c>
      <c r="E496">
        <v>2216317</v>
      </c>
      <c r="F496">
        <v>9.1999999999999998E-2</v>
      </c>
      <c r="G496">
        <v>10</v>
      </c>
      <c r="H496" t="s">
        <v>11</v>
      </c>
      <c r="I496">
        <v>8</v>
      </c>
      <c r="J496" t="s">
        <v>1257</v>
      </c>
    </row>
    <row r="497" spans="1:10" x14ac:dyDescent="0.3">
      <c r="A497">
        <v>496</v>
      </c>
      <c r="B497" t="s">
        <v>1258</v>
      </c>
      <c r="C497" t="s">
        <v>11</v>
      </c>
      <c r="D497" t="s">
        <v>1259</v>
      </c>
      <c r="E497">
        <v>922902</v>
      </c>
      <c r="F497">
        <v>8.3000000000000004E-2</v>
      </c>
      <c r="G497">
        <v>20</v>
      </c>
      <c r="H497" t="s">
        <v>11</v>
      </c>
      <c r="I497">
        <v>13</v>
      </c>
      <c r="J497" t="s">
        <v>1260</v>
      </c>
    </row>
    <row r="498" spans="1:10" x14ac:dyDescent="0.3">
      <c r="A498">
        <v>497</v>
      </c>
      <c r="B498" t="s">
        <v>1261</v>
      </c>
      <c r="C498" t="s">
        <v>11</v>
      </c>
      <c r="D498" t="s">
        <v>1262</v>
      </c>
      <c r="E498">
        <v>918645</v>
      </c>
      <c r="F498">
        <v>0.11600000000000001</v>
      </c>
      <c r="G498">
        <v>20</v>
      </c>
      <c r="H498" t="s">
        <v>11</v>
      </c>
      <c r="I498">
        <v>4</v>
      </c>
      <c r="J498" t="s">
        <v>1263</v>
      </c>
    </row>
    <row r="499" spans="1:10" x14ac:dyDescent="0.3">
      <c r="A499">
        <v>498</v>
      </c>
      <c r="B499" t="s">
        <v>1264</v>
      </c>
      <c r="C499" t="s">
        <v>11</v>
      </c>
      <c r="D499" t="s">
        <v>15</v>
      </c>
      <c r="E499">
        <v>982402</v>
      </c>
      <c r="F499">
        <v>0.11600000000000001</v>
      </c>
      <c r="G499">
        <v>25</v>
      </c>
      <c r="H499" t="s">
        <v>11</v>
      </c>
      <c r="I499">
        <v>1</v>
      </c>
      <c r="J499" t="s">
        <v>1265</v>
      </c>
    </row>
    <row r="500" spans="1:10" x14ac:dyDescent="0.3">
      <c r="A500">
        <v>499</v>
      </c>
      <c r="B500" t="s">
        <v>1266</v>
      </c>
      <c r="C500" t="s">
        <v>11</v>
      </c>
      <c r="D500" t="s">
        <v>1267</v>
      </c>
      <c r="E500">
        <v>1698730</v>
      </c>
      <c r="F500">
        <v>0.11600000000000001</v>
      </c>
      <c r="G500">
        <v>30</v>
      </c>
      <c r="H500" t="s">
        <v>11</v>
      </c>
      <c r="I500">
        <v>13</v>
      </c>
    </row>
    <row r="501" spans="1:10" x14ac:dyDescent="0.3">
      <c r="A501">
        <v>500</v>
      </c>
      <c r="B501" t="s">
        <v>1268</v>
      </c>
      <c r="C501" t="s">
        <v>11</v>
      </c>
      <c r="D501" t="s">
        <v>1269</v>
      </c>
      <c r="E501">
        <v>526704</v>
      </c>
      <c r="F501">
        <v>8.6999999999999994E-2</v>
      </c>
      <c r="G501">
        <v>20</v>
      </c>
      <c r="H501" t="s">
        <v>1270</v>
      </c>
      <c r="I501">
        <v>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CBBB8-52AA-4FAE-A0C6-AB25827B4BD6}">
  <sheetPr codeName="Sheet3"/>
  <dimension ref="A1:K603"/>
  <sheetViews>
    <sheetView topLeftCell="A571" zoomScale="65" workbookViewId="0">
      <selection activeCell="D604" sqref="D604"/>
    </sheetView>
  </sheetViews>
  <sheetFormatPr defaultRowHeight="14.4" x14ac:dyDescent="0.3"/>
  <cols>
    <col min="1" max="1" width="18.109375" bestFit="1" customWidth="1"/>
    <col min="2" max="2" width="6.44140625" bestFit="1" customWidth="1"/>
    <col min="3" max="3" width="15.6640625" bestFit="1" customWidth="1"/>
    <col min="4" max="4" width="7.77734375" bestFit="1" customWidth="1"/>
    <col min="5" max="5" width="19.88671875" style="21" bestFit="1" customWidth="1"/>
    <col min="6" max="6" width="17.6640625" style="21" bestFit="1" customWidth="1"/>
    <col min="7" max="7" width="15.109375" bestFit="1" customWidth="1"/>
    <col min="8" max="8" width="14.44140625" bestFit="1" customWidth="1"/>
    <col min="9" max="9" width="15.44140625" bestFit="1" customWidth="1"/>
    <col min="10" max="10" width="21" style="1" bestFit="1" customWidth="1"/>
    <col min="11" max="11" width="17.5546875" style="21" bestFit="1" customWidth="1"/>
    <col min="17" max="17" width="12.5546875" customWidth="1"/>
    <col min="18" max="18" width="13.88671875" customWidth="1"/>
    <col min="19" max="19" width="11.88671875" customWidth="1"/>
    <col min="20" max="20" width="21.44140625" customWidth="1"/>
    <col min="21" max="21" width="7.77734375" bestFit="1" customWidth="1"/>
    <col min="22" max="22" width="18.5546875" bestFit="1" customWidth="1"/>
    <col min="23" max="23" width="16.21875" bestFit="1" customWidth="1"/>
    <col min="24" max="24" width="15.109375" bestFit="1" customWidth="1"/>
    <col min="25" max="25" width="14.44140625" bestFit="1" customWidth="1"/>
    <col min="26" max="26" width="15.44140625" bestFit="1" customWidth="1"/>
    <col min="27" max="27" width="21" bestFit="1" customWidth="1"/>
    <col min="28" max="28" width="16" bestFit="1" customWidth="1"/>
  </cols>
  <sheetData>
    <row r="1" spans="1:11" x14ac:dyDescent="0.3">
      <c r="A1" t="s">
        <v>2308</v>
      </c>
      <c r="B1" t="s">
        <v>0</v>
      </c>
      <c r="C1" t="s">
        <v>1</v>
      </c>
      <c r="D1" t="s">
        <v>2</v>
      </c>
      <c r="E1" s="21" t="s">
        <v>3</v>
      </c>
      <c r="F1" s="21" t="s">
        <v>4</v>
      </c>
      <c r="G1" t="s">
        <v>5</v>
      </c>
      <c r="H1" t="s">
        <v>6</v>
      </c>
      <c r="I1" t="s">
        <v>7</v>
      </c>
      <c r="J1" t="s">
        <v>8</v>
      </c>
      <c r="K1" s="21" t="s">
        <v>9</v>
      </c>
    </row>
    <row r="2" spans="1:11" x14ac:dyDescent="0.3">
      <c r="A2" t="s">
        <v>2309</v>
      </c>
      <c r="B2">
        <v>1</v>
      </c>
      <c r="C2" t="s">
        <v>1271</v>
      </c>
      <c r="D2">
        <v>49</v>
      </c>
      <c r="E2" s="21">
        <v>85404</v>
      </c>
      <c r="F2" s="21">
        <v>2412106</v>
      </c>
      <c r="G2">
        <v>8.6999999999999994E-2</v>
      </c>
      <c r="H2">
        <v>30</v>
      </c>
      <c r="I2">
        <v>694</v>
      </c>
      <c r="J2">
        <v>9</v>
      </c>
      <c r="K2" s="21">
        <v>877</v>
      </c>
    </row>
    <row r="3" spans="1:11" x14ac:dyDescent="0.3">
      <c r="A3" t="s">
        <v>2309</v>
      </c>
      <c r="B3">
        <v>2</v>
      </c>
      <c r="C3" t="s">
        <v>1272</v>
      </c>
      <c r="D3">
        <v>48</v>
      </c>
      <c r="E3" s="21">
        <v>84304</v>
      </c>
      <c r="F3" s="21">
        <v>2360101</v>
      </c>
      <c r="G3">
        <v>0.11</v>
      </c>
      <c r="H3">
        <v>25</v>
      </c>
      <c r="I3">
        <v>691</v>
      </c>
      <c r="J3">
        <v>0</v>
      </c>
      <c r="K3" s="21">
        <v>1134</v>
      </c>
    </row>
    <row r="4" spans="1:11" x14ac:dyDescent="0.3">
      <c r="A4" t="s">
        <v>2309</v>
      </c>
      <c r="B4">
        <v>3</v>
      </c>
      <c r="C4" t="s">
        <v>1273</v>
      </c>
      <c r="D4">
        <v>62</v>
      </c>
      <c r="E4" s="21">
        <v>29394</v>
      </c>
      <c r="F4" s="21">
        <v>1709269</v>
      </c>
      <c r="G4">
        <v>0.11</v>
      </c>
      <c r="H4">
        <v>15</v>
      </c>
      <c r="I4">
        <v>639</v>
      </c>
      <c r="J4">
        <v>9</v>
      </c>
      <c r="K4" s="21">
        <v>45094</v>
      </c>
    </row>
    <row r="5" spans="1:11" x14ac:dyDescent="0.3">
      <c r="A5" t="s">
        <v>2309</v>
      </c>
      <c r="B5">
        <v>4</v>
      </c>
      <c r="C5" t="s">
        <v>1274</v>
      </c>
      <c r="D5">
        <v>20</v>
      </c>
      <c r="E5" s="21">
        <v>15953</v>
      </c>
      <c r="F5" s="21">
        <v>2114844</v>
      </c>
      <c r="G5">
        <v>9.1999999999999998E-2</v>
      </c>
      <c r="H5">
        <v>15</v>
      </c>
      <c r="I5">
        <v>615</v>
      </c>
      <c r="J5">
        <v>0</v>
      </c>
      <c r="K5" s="21">
        <v>39579</v>
      </c>
    </row>
    <row r="6" spans="1:11" x14ac:dyDescent="0.3">
      <c r="A6" t="s">
        <v>2309</v>
      </c>
      <c r="B6">
        <v>5</v>
      </c>
      <c r="C6" t="s">
        <v>1275</v>
      </c>
      <c r="D6">
        <v>22</v>
      </c>
      <c r="E6" s="21">
        <v>69883</v>
      </c>
      <c r="F6" s="21">
        <v>1544591</v>
      </c>
      <c r="G6">
        <v>9.5000000000000001E-2</v>
      </c>
      <c r="H6">
        <v>30</v>
      </c>
      <c r="I6">
        <v>757</v>
      </c>
      <c r="J6">
        <v>0</v>
      </c>
      <c r="K6" s="21">
        <v>8542</v>
      </c>
    </row>
    <row r="7" spans="1:11" x14ac:dyDescent="0.3">
      <c r="A7" t="s">
        <v>2309</v>
      </c>
      <c r="B7">
        <v>6</v>
      </c>
      <c r="C7" t="s">
        <v>1276</v>
      </c>
      <c r="D7">
        <v>22</v>
      </c>
      <c r="E7" s="21">
        <v>41167</v>
      </c>
      <c r="F7" s="21">
        <v>814416</v>
      </c>
      <c r="G7">
        <v>9.9000000000000005E-2</v>
      </c>
      <c r="H7">
        <v>10</v>
      </c>
      <c r="I7">
        <v>798</v>
      </c>
      <c r="J7">
        <v>0</v>
      </c>
      <c r="K7" s="21">
        <v>16593</v>
      </c>
    </row>
    <row r="8" spans="1:11" x14ac:dyDescent="0.3">
      <c r="A8" t="s">
        <v>2309</v>
      </c>
      <c r="B8">
        <v>7</v>
      </c>
      <c r="C8" t="s">
        <v>1277</v>
      </c>
      <c r="D8">
        <v>38</v>
      </c>
      <c r="E8" s="21">
        <v>34129</v>
      </c>
      <c r="F8" s="21">
        <v>1914757</v>
      </c>
      <c r="G8">
        <v>0.109</v>
      </c>
      <c r="H8">
        <v>20</v>
      </c>
      <c r="I8">
        <v>791</v>
      </c>
      <c r="J8">
        <v>8</v>
      </c>
      <c r="K8" s="21">
        <v>28135</v>
      </c>
    </row>
    <row r="9" spans="1:11" x14ac:dyDescent="0.3">
      <c r="A9" t="s">
        <v>2309</v>
      </c>
      <c r="B9">
        <v>8</v>
      </c>
      <c r="C9" t="s">
        <v>1278</v>
      </c>
      <c r="D9">
        <v>62</v>
      </c>
      <c r="E9" s="21">
        <v>118495</v>
      </c>
      <c r="F9" s="21">
        <v>2324321</v>
      </c>
      <c r="G9">
        <v>0.107</v>
      </c>
      <c r="H9">
        <v>15</v>
      </c>
      <c r="I9">
        <v>848</v>
      </c>
      <c r="J9">
        <v>15</v>
      </c>
      <c r="K9" s="21">
        <v>48061</v>
      </c>
    </row>
    <row r="10" spans="1:11" x14ac:dyDescent="0.3">
      <c r="A10" t="s">
        <v>2309</v>
      </c>
      <c r="B10">
        <v>9</v>
      </c>
      <c r="C10" t="s">
        <v>1279</v>
      </c>
      <c r="D10">
        <v>65</v>
      </c>
      <c r="E10" s="21">
        <v>73088</v>
      </c>
      <c r="F10" s="21">
        <v>1526262</v>
      </c>
      <c r="G10">
        <v>9.7000000000000003E-2</v>
      </c>
      <c r="H10">
        <v>10</v>
      </c>
      <c r="I10">
        <v>649</v>
      </c>
      <c r="J10">
        <v>8</v>
      </c>
      <c r="K10" s="21">
        <v>37724</v>
      </c>
    </row>
    <row r="11" spans="1:11" x14ac:dyDescent="0.3">
      <c r="A11" t="s">
        <v>2309</v>
      </c>
      <c r="B11">
        <v>10</v>
      </c>
      <c r="C11" t="s">
        <v>1280</v>
      </c>
      <c r="D11">
        <v>29</v>
      </c>
      <c r="E11" s="21">
        <v>36542</v>
      </c>
      <c r="F11" s="21">
        <v>2432958</v>
      </c>
      <c r="G11">
        <v>0.11</v>
      </c>
      <c r="H11">
        <v>15</v>
      </c>
      <c r="I11">
        <v>629</v>
      </c>
      <c r="J11">
        <v>15</v>
      </c>
      <c r="K11" s="21">
        <v>46599</v>
      </c>
    </row>
    <row r="12" spans="1:11" x14ac:dyDescent="0.3">
      <c r="A12" t="s">
        <v>2309</v>
      </c>
      <c r="B12">
        <v>11</v>
      </c>
      <c r="C12" t="s">
        <v>1281</v>
      </c>
      <c r="D12">
        <v>43</v>
      </c>
      <c r="E12" s="21">
        <v>116098</v>
      </c>
      <c r="F12" s="21">
        <v>1076295</v>
      </c>
      <c r="G12">
        <v>9.1999999999999998E-2</v>
      </c>
      <c r="H12">
        <v>10</v>
      </c>
      <c r="I12">
        <v>838</v>
      </c>
      <c r="J12">
        <v>8</v>
      </c>
      <c r="K12" s="21">
        <v>10251</v>
      </c>
    </row>
    <row r="13" spans="1:11" x14ac:dyDescent="0.3">
      <c r="A13" t="s">
        <v>2309</v>
      </c>
      <c r="B13">
        <v>12</v>
      </c>
      <c r="C13" t="s">
        <v>1282</v>
      </c>
      <c r="D13">
        <v>31</v>
      </c>
      <c r="E13" s="21">
        <v>104627</v>
      </c>
      <c r="F13" s="21">
        <v>2284946</v>
      </c>
      <c r="G13">
        <v>8.5000000000000006E-2</v>
      </c>
      <c r="H13">
        <v>10</v>
      </c>
      <c r="I13">
        <v>662</v>
      </c>
      <c r="J13">
        <v>6</v>
      </c>
      <c r="K13" s="21">
        <v>36256</v>
      </c>
    </row>
    <row r="14" spans="1:11" x14ac:dyDescent="0.3">
      <c r="A14" t="s">
        <v>2309</v>
      </c>
      <c r="B14">
        <v>13</v>
      </c>
      <c r="C14" t="s">
        <v>1283</v>
      </c>
      <c r="D14">
        <v>61</v>
      </c>
      <c r="E14" s="21">
        <v>79509</v>
      </c>
      <c r="F14" s="21">
        <v>719317</v>
      </c>
      <c r="G14">
        <v>0.105</v>
      </c>
      <c r="H14">
        <v>20</v>
      </c>
      <c r="I14">
        <v>784</v>
      </c>
      <c r="J14">
        <v>5</v>
      </c>
      <c r="K14" s="21">
        <v>13801</v>
      </c>
    </row>
    <row r="15" spans="1:11" x14ac:dyDescent="0.3">
      <c r="A15" t="s">
        <v>2309</v>
      </c>
      <c r="B15">
        <v>14</v>
      </c>
      <c r="C15" t="s">
        <v>1284</v>
      </c>
      <c r="D15">
        <v>34</v>
      </c>
      <c r="E15" s="21">
        <v>108661</v>
      </c>
      <c r="F15" s="21">
        <v>1096062</v>
      </c>
      <c r="G15">
        <v>9.8000000000000004E-2</v>
      </c>
      <c r="H15">
        <v>30</v>
      </c>
      <c r="I15">
        <v>621</v>
      </c>
      <c r="J15">
        <v>3</v>
      </c>
      <c r="K15" s="21">
        <v>45910</v>
      </c>
    </row>
    <row r="16" spans="1:11" x14ac:dyDescent="0.3">
      <c r="A16" t="s">
        <v>2309</v>
      </c>
      <c r="B16">
        <v>15</v>
      </c>
      <c r="C16" t="s">
        <v>1285</v>
      </c>
      <c r="D16">
        <v>57</v>
      </c>
      <c r="E16" s="21">
        <v>34823</v>
      </c>
      <c r="F16" s="21">
        <v>2315728</v>
      </c>
      <c r="G16">
        <v>0.114</v>
      </c>
      <c r="H16">
        <v>10</v>
      </c>
      <c r="I16">
        <v>712</v>
      </c>
      <c r="J16">
        <v>12</v>
      </c>
      <c r="K16" s="21">
        <v>18588</v>
      </c>
    </row>
    <row r="17" spans="1:11" x14ac:dyDescent="0.3">
      <c r="A17" t="s">
        <v>2309</v>
      </c>
      <c r="B17">
        <v>16</v>
      </c>
      <c r="C17" t="s">
        <v>1286</v>
      </c>
      <c r="D17">
        <v>38</v>
      </c>
      <c r="E17" s="21">
        <v>17478</v>
      </c>
      <c r="F17" s="21">
        <v>1283175</v>
      </c>
      <c r="G17">
        <v>0.111</v>
      </c>
      <c r="H17">
        <v>15</v>
      </c>
      <c r="I17">
        <v>670</v>
      </c>
      <c r="J17">
        <v>15</v>
      </c>
      <c r="K17" s="21">
        <v>27343</v>
      </c>
    </row>
    <row r="18" spans="1:11" x14ac:dyDescent="0.3">
      <c r="A18" t="s">
        <v>2309</v>
      </c>
      <c r="B18">
        <v>17</v>
      </c>
      <c r="C18" t="s">
        <v>1287</v>
      </c>
      <c r="D18">
        <v>24</v>
      </c>
      <c r="E18" s="21">
        <v>64569</v>
      </c>
      <c r="F18" s="21">
        <v>2371937</v>
      </c>
      <c r="G18">
        <v>8.2000000000000003E-2</v>
      </c>
      <c r="H18">
        <v>10</v>
      </c>
      <c r="I18">
        <v>609</v>
      </c>
      <c r="J18">
        <v>2</v>
      </c>
      <c r="K18" s="21">
        <v>35929</v>
      </c>
    </row>
    <row r="19" spans="1:11" x14ac:dyDescent="0.3">
      <c r="A19" t="s">
        <v>2309</v>
      </c>
      <c r="B19">
        <v>18</v>
      </c>
      <c r="C19" t="s">
        <v>1288</v>
      </c>
      <c r="D19">
        <v>27</v>
      </c>
      <c r="E19" s="21">
        <v>22130</v>
      </c>
      <c r="F19" s="21">
        <v>1533247</v>
      </c>
      <c r="G19">
        <v>9.9000000000000005E-2</v>
      </c>
      <c r="H19">
        <v>30</v>
      </c>
      <c r="I19">
        <v>645</v>
      </c>
      <c r="J19">
        <v>12</v>
      </c>
      <c r="K19" s="21">
        <v>10067</v>
      </c>
    </row>
    <row r="20" spans="1:11" x14ac:dyDescent="0.3">
      <c r="A20" t="s">
        <v>2309</v>
      </c>
      <c r="B20">
        <v>19</v>
      </c>
      <c r="C20" t="s">
        <v>1289</v>
      </c>
      <c r="D20">
        <v>24</v>
      </c>
      <c r="E20" s="21">
        <v>114734</v>
      </c>
      <c r="F20" s="21">
        <v>2420710</v>
      </c>
      <c r="G20">
        <v>0.114</v>
      </c>
      <c r="H20">
        <v>10</v>
      </c>
      <c r="I20">
        <v>796</v>
      </c>
      <c r="J20">
        <v>15</v>
      </c>
      <c r="K20" s="21">
        <v>48149</v>
      </c>
    </row>
    <row r="21" spans="1:11" x14ac:dyDescent="0.3">
      <c r="A21" t="s">
        <v>2309</v>
      </c>
      <c r="B21">
        <v>20</v>
      </c>
      <c r="C21" t="s">
        <v>1290</v>
      </c>
      <c r="D21">
        <v>49</v>
      </c>
      <c r="E21" s="21">
        <v>99004</v>
      </c>
      <c r="F21" s="21">
        <v>1499619</v>
      </c>
      <c r="G21">
        <v>0.111</v>
      </c>
      <c r="H21">
        <v>15</v>
      </c>
      <c r="I21">
        <v>754</v>
      </c>
      <c r="J21">
        <v>5</v>
      </c>
      <c r="K21" s="21">
        <v>47256</v>
      </c>
    </row>
    <row r="22" spans="1:11" x14ac:dyDescent="0.3">
      <c r="A22" t="s">
        <v>2309</v>
      </c>
      <c r="B22">
        <v>21</v>
      </c>
      <c r="C22" t="s">
        <v>1291</v>
      </c>
      <c r="D22">
        <v>39</v>
      </c>
      <c r="E22" s="21">
        <v>21629</v>
      </c>
      <c r="F22" s="21">
        <v>2124334</v>
      </c>
      <c r="G22">
        <v>8.5000000000000006E-2</v>
      </c>
      <c r="H22">
        <v>25</v>
      </c>
      <c r="I22">
        <v>617</v>
      </c>
      <c r="J22">
        <v>0</v>
      </c>
      <c r="K22" s="21">
        <v>7527</v>
      </c>
    </row>
    <row r="23" spans="1:11" x14ac:dyDescent="0.3">
      <c r="A23" t="s">
        <v>2309</v>
      </c>
      <c r="B23">
        <v>22</v>
      </c>
      <c r="C23" t="s">
        <v>1292</v>
      </c>
      <c r="D23">
        <v>36</v>
      </c>
      <c r="E23" s="21">
        <v>102497</v>
      </c>
      <c r="F23" s="21">
        <v>1527330</v>
      </c>
      <c r="G23">
        <v>9.8000000000000004E-2</v>
      </c>
      <c r="H23">
        <v>25</v>
      </c>
      <c r="I23">
        <v>766</v>
      </c>
      <c r="J23">
        <v>7</v>
      </c>
      <c r="K23" s="21">
        <v>1644</v>
      </c>
    </row>
    <row r="24" spans="1:11" x14ac:dyDescent="0.3">
      <c r="A24" t="s">
        <v>2309</v>
      </c>
      <c r="B24">
        <v>23</v>
      </c>
      <c r="C24" t="s">
        <v>1293</v>
      </c>
      <c r="D24">
        <v>57</v>
      </c>
      <c r="E24" s="21">
        <v>72608</v>
      </c>
      <c r="F24" s="21">
        <v>1271045</v>
      </c>
      <c r="G24">
        <v>9.2999999999999999E-2</v>
      </c>
      <c r="H24">
        <v>25</v>
      </c>
      <c r="I24">
        <v>631</v>
      </c>
      <c r="J24">
        <v>3</v>
      </c>
      <c r="K24" s="21">
        <v>103</v>
      </c>
    </row>
    <row r="25" spans="1:11" x14ac:dyDescent="0.3">
      <c r="A25" t="s">
        <v>2309</v>
      </c>
      <c r="B25">
        <v>24</v>
      </c>
      <c r="C25" t="s">
        <v>1294</v>
      </c>
      <c r="D25">
        <v>53</v>
      </c>
      <c r="E25" s="21">
        <v>41809</v>
      </c>
      <c r="F25" s="21">
        <v>1086545</v>
      </c>
      <c r="G25">
        <v>0.12</v>
      </c>
      <c r="H25">
        <v>20</v>
      </c>
      <c r="I25">
        <v>641</v>
      </c>
      <c r="J25">
        <v>3</v>
      </c>
      <c r="K25" s="21">
        <v>12126</v>
      </c>
    </row>
    <row r="26" spans="1:11" x14ac:dyDescent="0.3">
      <c r="A26" t="s">
        <v>2309</v>
      </c>
      <c r="B26">
        <v>25</v>
      </c>
      <c r="C26" t="s">
        <v>1295</v>
      </c>
      <c r="D26">
        <v>39</v>
      </c>
      <c r="E26" s="21">
        <v>102275</v>
      </c>
      <c r="F26" s="21">
        <v>2196520</v>
      </c>
      <c r="G26">
        <v>9.0999999999999998E-2</v>
      </c>
      <c r="H26">
        <v>20</v>
      </c>
      <c r="I26">
        <v>659</v>
      </c>
      <c r="J26">
        <v>14</v>
      </c>
      <c r="K26" s="21">
        <v>36752</v>
      </c>
    </row>
    <row r="27" spans="1:11" x14ac:dyDescent="0.3">
      <c r="A27" t="s">
        <v>2309</v>
      </c>
      <c r="B27">
        <v>26</v>
      </c>
      <c r="C27" t="s">
        <v>1296</v>
      </c>
      <c r="D27">
        <v>26</v>
      </c>
      <c r="E27" s="21">
        <v>70534</v>
      </c>
      <c r="F27" s="21">
        <v>841760</v>
      </c>
      <c r="G27">
        <v>8.3000000000000004E-2</v>
      </c>
      <c r="H27">
        <v>15</v>
      </c>
      <c r="I27">
        <v>806</v>
      </c>
      <c r="J27">
        <v>6</v>
      </c>
      <c r="K27" s="21">
        <v>16185</v>
      </c>
    </row>
    <row r="28" spans="1:11" x14ac:dyDescent="0.3">
      <c r="A28" t="s">
        <v>2309</v>
      </c>
      <c r="B28">
        <v>27</v>
      </c>
      <c r="C28" t="s">
        <v>1297</v>
      </c>
      <c r="D28">
        <v>35</v>
      </c>
      <c r="E28" s="21">
        <v>44086</v>
      </c>
      <c r="F28" s="21">
        <v>1742366</v>
      </c>
      <c r="G28">
        <v>0.10299999999999999</v>
      </c>
      <c r="H28">
        <v>25</v>
      </c>
      <c r="I28">
        <v>606</v>
      </c>
      <c r="J28">
        <v>2</v>
      </c>
      <c r="K28" s="21">
        <v>19332</v>
      </c>
    </row>
    <row r="29" spans="1:11" x14ac:dyDescent="0.3">
      <c r="A29" t="s">
        <v>2309</v>
      </c>
      <c r="B29">
        <v>28</v>
      </c>
      <c r="C29" t="s">
        <v>1298</v>
      </c>
      <c r="D29">
        <v>26</v>
      </c>
      <c r="E29" s="21">
        <v>71076</v>
      </c>
      <c r="F29" s="21">
        <v>1492349</v>
      </c>
      <c r="G29">
        <v>8.3000000000000004E-2</v>
      </c>
      <c r="H29">
        <v>20</v>
      </c>
      <c r="I29">
        <v>642</v>
      </c>
      <c r="J29">
        <v>5</v>
      </c>
      <c r="K29" s="21">
        <v>7367</v>
      </c>
    </row>
    <row r="30" spans="1:11" x14ac:dyDescent="0.3">
      <c r="A30" t="s">
        <v>2309</v>
      </c>
      <c r="B30">
        <v>29</v>
      </c>
      <c r="C30" t="s">
        <v>1299</v>
      </c>
      <c r="D30">
        <v>31</v>
      </c>
      <c r="E30" s="21">
        <v>80285</v>
      </c>
      <c r="F30" s="21">
        <v>1144324</v>
      </c>
      <c r="G30">
        <v>9.0999999999999998E-2</v>
      </c>
      <c r="H30">
        <v>20</v>
      </c>
      <c r="I30">
        <v>830</v>
      </c>
      <c r="J30">
        <v>1</v>
      </c>
      <c r="K30" s="21">
        <v>41964</v>
      </c>
    </row>
    <row r="31" spans="1:11" x14ac:dyDescent="0.3">
      <c r="A31" t="s">
        <v>2309</v>
      </c>
      <c r="B31">
        <v>30</v>
      </c>
      <c r="C31" t="s">
        <v>1300</v>
      </c>
      <c r="D31">
        <v>57</v>
      </c>
      <c r="E31" s="21">
        <v>114181</v>
      </c>
      <c r="F31" s="21">
        <v>1240637</v>
      </c>
      <c r="G31">
        <v>8.2000000000000003E-2</v>
      </c>
      <c r="H31">
        <v>30</v>
      </c>
      <c r="I31">
        <v>601</v>
      </c>
      <c r="J31">
        <v>3</v>
      </c>
      <c r="K31" s="21">
        <v>7781</v>
      </c>
    </row>
    <row r="32" spans="1:11" x14ac:dyDescent="0.3">
      <c r="A32" t="s">
        <v>2309</v>
      </c>
      <c r="B32">
        <v>31</v>
      </c>
      <c r="C32" t="s">
        <v>1301</v>
      </c>
      <c r="D32">
        <v>65</v>
      </c>
      <c r="E32" s="21">
        <v>28789</v>
      </c>
      <c r="F32" s="21">
        <v>882937</v>
      </c>
      <c r="G32">
        <v>9.7000000000000003E-2</v>
      </c>
      <c r="H32">
        <v>30</v>
      </c>
      <c r="I32">
        <v>640</v>
      </c>
      <c r="J32">
        <v>11</v>
      </c>
      <c r="K32" s="21">
        <v>24501</v>
      </c>
    </row>
    <row r="33" spans="1:11" x14ac:dyDescent="0.3">
      <c r="A33" t="s">
        <v>2309</v>
      </c>
      <c r="B33">
        <v>32</v>
      </c>
      <c r="C33" t="s">
        <v>1302</v>
      </c>
      <c r="D33">
        <v>47</v>
      </c>
      <c r="E33" s="21">
        <v>15153</v>
      </c>
      <c r="F33" s="21">
        <v>1147576</v>
      </c>
      <c r="G33">
        <v>0.09</v>
      </c>
      <c r="H33">
        <v>30</v>
      </c>
      <c r="I33">
        <v>602</v>
      </c>
      <c r="J33">
        <v>2</v>
      </c>
      <c r="K33" s="21">
        <v>40668</v>
      </c>
    </row>
    <row r="34" spans="1:11" x14ac:dyDescent="0.3">
      <c r="A34" t="s">
        <v>2309</v>
      </c>
      <c r="B34">
        <v>33</v>
      </c>
      <c r="C34" t="s">
        <v>1303</v>
      </c>
      <c r="D34">
        <v>32</v>
      </c>
      <c r="E34" s="21">
        <v>47019</v>
      </c>
      <c r="F34" s="21">
        <v>940945</v>
      </c>
      <c r="G34">
        <v>9.1999999999999998E-2</v>
      </c>
      <c r="H34">
        <v>20</v>
      </c>
      <c r="I34">
        <v>657</v>
      </c>
      <c r="J34">
        <v>1</v>
      </c>
      <c r="K34" s="21">
        <v>41718</v>
      </c>
    </row>
    <row r="35" spans="1:11" x14ac:dyDescent="0.3">
      <c r="A35" t="s">
        <v>2309</v>
      </c>
      <c r="B35">
        <v>34</v>
      </c>
      <c r="C35" t="s">
        <v>1304</v>
      </c>
      <c r="D35">
        <v>46</v>
      </c>
      <c r="E35" s="21">
        <v>86476</v>
      </c>
      <c r="F35" s="21">
        <v>2376527</v>
      </c>
      <c r="G35">
        <v>0.108</v>
      </c>
      <c r="H35">
        <v>25</v>
      </c>
      <c r="I35">
        <v>729</v>
      </c>
      <c r="J35">
        <v>5</v>
      </c>
      <c r="K35" s="21">
        <v>45754</v>
      </c>
    </row>
    <row r="36" spans="1:11" x14ac:dyDescent="0.3">
      <c r="A36" t="s">
        <v>2309</v>
      </c>
      <c r="B36">
        <v>35</v>
      </c>
      <c r="C36" t="s">
        <v>1305</v>
      </c>
      <c r="D36">
        <v>53</v>
      </c>
      <c r="E36" s="21">
        <v>59793</v>
      </c>
      <c r="F36" s="21">
        <v>581141</v>
      </c>
      <c r="G36">
        <v>8.1000000000000003E-2</v>
      </c>
      <c r="H36">
        <v>10</v>
      </c>
      <c r="I36">
        <v>752</v>
      </c>
      <c r="J36">
        <v>12</v>
      </c>
      <c r="K36" s="21">
        <v>7047</v>
      </c>
    </row>
    <row r="37" spans="1:11" x14ac:dyDescent="0.3">
      <c r="A37" t="s">
        <v>2309</v>
      </c>
      <c r="B37">
        <v>36</v>
      </c>
      <c r="C37" t="s">
        <v>1306</v>
      </c>
      <c r="D37">
        <v>58</v>
      </c>
      <c r="E37" s="21">
        <v>18124</v>
      </c>
      <c r="F37" s="21">
        <v>2329885</v>
      </c>
      <c r="G37">
        <v>0.114</v>
      </c>
      <c r="H37">
        <v>30</v>
      </c>
      <c r="I37">
        <v>690</v>
      </c>
      <c r="J37">
        <v>1</v>
      </c>
      <c r="K37" s="21">
        <v>22707</v>
      </c>
    </row>
    <row r="38" spans="1:11" x14ac:dyDescent="0.3">
      <c r="A38" t="s">
        <v>2309</v>
      </c>
      <c r="B38">
        <v>37</v>
      </c>
      <c r="C38" t="s">
        <v>1307</v>
      </c>
      <c r="D38">
        <v>21</v>
      </c>
      <c r="E38" s="21">
        <v>77097</v>
      </c>
      <c r="F38" s="21">
        <v>987501</v>
      </c>
      <c r="G38">
        <v>0.10100000000000001</v>
      </c>
      <c r="H38">
        <v>25</v>
      </c>
      <c r="I38">
        <v>689</v>
      </c>
      <c r="J38">
        <v>0</v>
      </c>
      <c r="K38" s="21">
        <v>2625</v>
      </c>
    </row>
    <row r="39" spans="1:11" x14ac:dyDescent="0.3">
      <c r="A39" t="s">
        <v>2309</v>
      </c>
      <c r="B39">
        <v>38</v>
      </c>
      <c r="C39" t="s">
        <v>1308</v>
      </c>
      <c r="D39">
        <v>22</v>
      </c>
      <c r="E39" s="21">
        <v>54288</v>
      </c>
      <c r="F39" s="21">
        <v>2167187</v>
      </c>
      <c r="G39">
        <v>0.11</v>
      </c>
      <c r="H39">
        <v>10</v>
      </c>
      <c r="I39">
        <v>850</v>
      </c>
      <c r="J39">
        <v>4</v>
      </c>
      <c r="K39" s="21">
        <v>40677</v>
      </c>
    </row>
    <row r="40" spans="1:11" x14ac:dyDescent="0.3">
      <c r="A40" t="s">
        <v>2309</v>
      </c>
      <c r="B40">
        <v>39</v>
      </c>
      <c r="C40" t="s">
        <v>1309</v>
      </c>
      <c r="D40">
        <v>53</v>
      </c>
      <c r="E40" s="21">
        <v>115458</v>
      </c>
      <c r="F40" s="21">
        <v>1926666</v>
      </c>
      <c r="G40">
        <v>0.12</v>
      </c>
      <c r="H40">
        <v>30</v>
      </c>
      <c r="I40">
        <v>719</v>
      </c>
      <c r="J40">
        <v>2</v>
      </c>
      <c r="K40" s="21">
        <v>37356</v>
      </c>
    </row>
    <row r="41" spans="1:11" x14ac:dyDescent="0.3">
      <c r="A41" t="s">
        <v>2309</v>
      </c>
      <c r="B41">
        <v>40</v>
      </c>
      <c r="C41" t="s">
        <v>1310</v>
      </c>
      <c r="D41">
        <v>35</v>
      </c>
      <c r="E41" s="21">
        <v>99914</v>
      </c>
      <c r="F41" s="21">
        <v>557580</v>
      </c>
      <c r="G41">
        <v>9.1999999999999998E-2</v>
      </c>
      <c r="H41">
        <v>25</v>
      </c>
      <c r="I41">
        <v>769</v>
      </c>
      <c r="J41">
        <v>14</v>
      </c>
      <c r="K41" s="21">
        <v>44658</v>
      </c>
    </row>
    <row r="42" spans="1:11" x14ac:dyDescent="0.3">
      <c r="A42" t="s">
        <v>2309</v>
      </c>
      <c r="B42">
        <v>41</v>
      </c>
      <c r="C42" t="s">
        <v>1311</v>
      </c>
      <c r="D42">
        <v>59</v>
      </c>
      <c r="E42" s="21">
        <v>39173</v>
      </c>
      <c r="F42" s="21">
        <v>2330942</v>
      </c>
      <c r="G42">
        <v>9.1999999999999998E-2</v>
      </c>
      <c r="H42">
        <v>15</v>
      </c>
      <c r="I42">
        <v>639</v>
      </c>
      <c r="J42">
        <v>15</v>
      </c>
      <c r="K42" s="21">
        <v>49175</v>
      </c>
    </row>
    <row r="43" spans="1:11" x14ac:dyDescent="0.3">
      <c r="A43" t="s">
        <v>2309</v>
      </c>
      <c r="B43">
        <v>42</v>
      </c>
      <c r="C43" t="s">
        <v>1312</v>
      </c>
      <c r="D43">
        <v>38</v>
      </c>
      <c r="E43" s="21">
        <v>102549</v>
      </c>
      <c r="F43" s="21">
        <v>1821899</v>
      </c>
      <c r="G43">
        <v>0.111</v>
      </c>
      <c r="H43">
        <v>15</v>
      </c>
      <c r="I43">
        <v>639</v>
      </c>
      <c r="J43">
        <v>2</v>
      </c>
      <c r="K43" s="21">
        <v>7027</v>
      </c>
    </row>
    <row r="44" spans="1:11" x14ac:dyDescent="0.3">
      <c r="A44" t="s">
        <v>2309</v>
      </c>
      <c r="B44">
        <v>43</v>
      </c>
      <c r="C44" t="s">
        <v>1313</v>
      </c>
      <c r="D44">
        <v>45</v>
      </c>
      <c r="E44" s="21">
        <v>47771</v>
      </c>
      <c r="F44" s="21">
        <v>1011585</v>
      </c>
      <c r="G44">
        <v>0.11</v>
      </c>
      <c r="H44">
        <v>20</v>
      </c>
      <c r="I44">
        <v>638</v>
      </c>
      <c r="J44">
        <v>14</v>
      </c>
      <c r="K44" s="21">
        <v>43163</v>
      </c>
    </row>
    <row r="45" spans="1:11" x14ac:dyDescent="0.3">
      <c r="A45" t="s">
        <v>2309</v>
      </c>
      <c r="B45">
        <v>44</v>
      </c>
      <c r="C45" t="s">
        <v>1314</v>
      </c>
      <c r="D45">
        <v>32</v>
      </c>
      <c r="E45" s="21">
        <v>91436</v>
      </c>
      <c r="F45" s="21">
        <v>2294336</v>
      </c>
      <c r="G45">
        <v>9.6000000000000002E-2</v>
      </c>
      <c r="H45">
        <v>30</v>
      </c>
      <c r="I45">
        <v>799</v>
      </c>
      <c r="J45">
        <v>12</v>
      </c>
      <c r="K45" s="21">
        <v>16986</v>
      </c>
    </row>
    <row r="46" spans="1:11" x14ac:dyDescent="0.3">
      <c r="A46" t="s">
        <v>2309</v>
      </c>
      <c r="B46">
        <v>45</v>
      </c>
      <c r="C46" t="s">
        <v>1315</v>
      </c>
      <c r="D46">
        <v>30</v>
      </c>
      <c r="E46" s="21">
        <v>107925</v>
      </c>
      <c r="F46" s="21">
        <v>1825789</v>
      </c>
      <c r="G46">
        <v>9.2999999999999999E-2</v>
      </c>
      <c r="H46">
        <v>25</v>
      </c>
      <c r="I46">
        <v>829</v>
      </c>
      <c r="J46">
        <v>3</v>
      </c>
      <c r="K46" s="21">
        <v>15264</v>
      </c>
    </row>
    <row r="47" spans="1:11" x14ac:dyDescent="0.3">
      <c r="A47" t="s">
        <v>2309</v>
      </c>
      <c r="B47">
        <v>46</v>
      </c>
      <c r="C47" t="s">
        <v>1316</v>
      </c>
      <c r="D47">
        <v>62</v>
      </c>
      <c r="E47" s="21">
        <v>37708</v>
      </c>
      <c r="F47" s="21">
        <v>1823136</v>
      </c>
      <c r="G47">
        <v>0.11600000000000001</v>
      </c>
      <c r="H47">
        <v>25</v>
      </c>
      <c r="I47">
        <v>670</v>
      </c>
      <c r="J47">
        <v>4</v>
      </c>
      <c r="K47" s="21">
        <v>10154</v>
      </c>
    </row>
    <row r="48" spans="1:11" x14ac:dyDescent="0.3">
      <c r="A48" t="s">
        <v>2309</v>
      </c>
      <c r="B48">
        <v>47</v>
      </c>
      <c r="C48" t="s">
        <v>1317</v>
      </c>
      <c r="D48">
        <v>32</v>
      </c>
      <c r="E48" s="21">
        <v>102628</v>
      </c>
      <c r="F48" s="21">
        <v>2373556</v>
      </c>
      <c r="G48">
        <v>8.5000000000000006E-2</v>
      </c>
      <c r="H48">
        <v>20</v>
      </c>
      <c r="I48">
        <v>774</v>
      </c>
      <c r="J48">
        <v>13</v>
      </c>
      <c r="K48" s="21">
        <v>12710</v>
      </c>
    </row>
    <row r="49" spans="1:11" x14ac:dyDescent="0.3">
      <c r="A49" t="s">
        <v>2309</v>
      </c>
      <c r="B49">
        <v>48</v>
      </c>
      <c r="C49" t="s">
        <v>1318</v>
      </c>
      <c r="D49">
        <v>28</v>
      </c>
      <c r="E49" s="21">
        <v>78757</v>
      </c>
      <c r="F49" s="21">
        <v>1438762</v>
      </c>
      <c r="G49">
        <v>0.105</v>
      </c>
      <c r="H49">
        <v>15</v>
      </c>
      <c r="I49">
        <v>644</v>
      </c>
      <c r="J49">
        <v>14</v>
      </c>
      <c r="K49" s="21">
        <v>36864</v>
      </c>
    </row>
    <row r="50" spans="1:11" x14ac:dyDescent="0.3">
      <c r="A50" t="s">
        <v>2309</v>
      </c>
      <c r="B50">
        <v>49</v>
      </c>
      <c r="C50" t="s">
        <v>1319</v>
      </c>
      <c r="D50">
        <v>31</v>
      </c>
      <c r="E50" s="21">
        <v>89164</v>
      </c>
      <c r="F50" s="21">
        <v>1602187</v>
      </c>
      <c r="G50">
        <v>0.11</v>
      </c>
      <c r="H50">
        <v>10</v>
      </c>
      <c r="I50">
        <v>801</v>
      </c>
      <c r="J50">
        <v>0</v>
      </c>
      <c r="K50" s="21">
        <v>40157</v>
      </c>
    </row>
    <row r="51" spans="1:11" x14ac:dyDescent="0.3">
      <c r="A51" t="s">
        <v>2309</v>
      </c>
      <c r="B51">
        <v>50</v>
      </c>
      <c r="C51" t="s">
        <v>1320</v>
      </c>
      <c r="D51">
        <v>29</v>
      </c>
      <c r="E51" s="21">
        <v>77072</v>
      </c>
      <c r="F51" s="21">
        <v>1270634</v>
      </c>
      <c r="G51">
        <v>0.1</v>
      </c>
      <c r="H51">
        <v>25</v>
      </c>
      <c r="I51">
        <v>829</v>
      </c>
      <c r="J51">
        <v>8</v>
      </c>
      <c r="K51" s="21">
        <v>8509</v>
      </c>
    </row>
    <row r="52" spans="1:11" x14ac:dyDescent="0.3">
      <c r="A52" t="s">
        <v>2309</v>
      </c>
      <c r="B52">
        <v>51</v>
      </c>
      <c r="C52" t="s">
        <v>1321</v>
      </c>
      <c r="D52">
        <v>64</v>
      </c>
      <c r="E52" s="21">
        <v>60014</v>
      </c>
      <c r="F52" s="21">
        <v>1684806</v>
      </c>
      <c r="G52">
        <v>0.09</v>
      </c>
      <c r="H52">
        <v>30</v>
      </c>
      <c r="I52">
        <v>614</v>
      </c>
      <c r="J52">
        <v>6</v>
      </c>
      <c r="K52" s="21">
        <v>23404</v>
      </c>
    </row>
    <row r="53" spans="1:11" x14ac:dyDescent="0.3">
      <c r="A53" t="s">
        <v>2309</v>
      </c>
      <c r="B53">
        <v>52</v>
      </c>
      <c r="C53" t="s">
        <v>1322</v>
      </c>
      <c r="D53">
        <v>54</v>
      </c>
      <c r="E53" s="21">
        <v>116837</v>
      </c>
      <c r="F53" s="21">
        <v>2113347</v>
      </c>
      <c r="G53">
        <v>8.7999999999999995E-2</v>
      </c>
      <c r="H53">
        <v>20</v>
      </c>
      <c r="I53">
        <v>795</v>
      </c>
      <c r="J53">
        <v>11</v>
      </c>
      <c r="K53" s="21">
        <v>40748</v>
      </c>
    </row>
    <row r="54" spans="1:11" x14ac:dyDescent="0.3">
      <c r="A54" t="s">
        <v>2309</v>
      </c>
      <c r="B54">
        <v>53</v>
      </c>
      <c r="C54" t="s">
        <v>1323</v>
      </c>
      <c r="D54">
        <v>30</v>
      </c>
      <c r="E54" s="21">
        <v>34984</v>
      </c>
      <c r="F54" s="21">
        <v>2391742</v>
      </c>
      <c r="G54">
        <v>9.9000000000000005E-2</v>
      </c>
      <c r="H54">
        <v>20</v>
      </c>
      <c r="I54">
        <v>786</v>
      </c>
      <c r="J54">
        <v>14</v>
      </c>
      <c r="K54" s="21">
        <v>30513</v>
      </c>
    </row>
    <row r="55" spans="1:11" x14ac:dyDescent="0.3">
      <c r="A55" t="s">
        <v>2309</v>
      </c>
      <c r="B55">
        <v>54</v>
      </c>
      <c r="C55" t="s">
        <v>1324</v>
      </c>
      <c r="D55">
        <v>43</v>
      </c>
      <c r="E55" s="21">
        <v>78404</v>
      </c>
      <c r="F55" s="21">
        <v>2302554</v>
      </c>
      <c r="G55">
        <v>0.10199999999999999</v>
      </c>
      <c r="H55">
        <v>20</v>
      </c>
      <c r="I55">
        <v>643</v>
      </c>
      <c r="J55">
        <v>10</v>
      </c>
      <c r="K55" s="21">
        <v>17503</v>
      </c>
    </row>
    <row r="56" spans="1:11" x14ac:dyDescent="0.3">
      <c r="A56" t="s">
        <v>2309</v>
      </c>
      <c r="B56">
        <v>55</v>
      </c>
      <c r="C56" t="s">
        <v>1325</v>
      </c>
      <c r="D56">
        <v>43</v>
      </c>
      <c r="E56" s="21">
        <v>93430</v>
      </c>
      <c r="F56" s="21">
        <v>2359664</v>
      </c>
      <c r="G56">
        <v>9.0999999999999998E-2</v>
      </c>
      <c r="H56">
        <v>10</v>
      </c>
      <c r="I56">
        <v>650</v>
      </c>
      <c r="J56">
        <v>13</v>
      </c>
      <c r="K56" s="21">
        <v>4080</v>
      </c>
    </row>
    <row r="57" spans="1:11" x14ac:dyDescent="0.3">
      <c r="A57" t="s">
        <v>2309</v>
      </c>
      <c r="B57">
        <v>56</v>
      </c>
      <c r="C57" t="s">
        <v>1326</v>
      </c>
      <c r="D57">
        <v>40</v>
      </c>
      <c r="E57" s="21">
        <v>50557</v>
      </c>
      <c r="F57" s="21">
        <v>685148</v>
      </c>
      <c r="G57">
        <v>8.5999999999999993E-2</v>
      </c>
      <c r="H57">
        <v>25</v>
      </c>
      <c r="I57">
        <v>699</v>
      </c>
      <c r="J57">
        <v>7</v>
      </c>
      <c r="K57" s="21">
        <v>29903</v>
      </c>
    </row>
    <row r="58" spans="1:11" x14ac:dyDescent="0.3">
      <c r="A58" t="s">
        <v>2309</v>
      </c>
      <c r="B58">
        <v>57</v>
      </c>
      <c r="C58" t="s">
        <v>1327</v>
      </c>
      <c r="D58">
        <v>23</v>
      </c>
      <c r="E58" s="21">
        <v>37720</v>
      </c>
      <c r="F58" s="21">
        <v>1206997</v>
      </c>
      <c r="G58">
        <v>0.106</v>
      </c>
      <c r="H58">
        <v>25</v>
      </c>
      <c r="I58">
        <v>789</v>
      </c>
      <c r="J58">
        <v>6</v>
      </c>
      <c r="K58" s="21">
        <v>16814</v>
      </c>
    </row>
    <row r="59" spans="1:11" x14ac:dyDescent="0.3">
      <c r="A59" t="s">
        <v>2309</v>
      </c>
      <c r="B59">
        <v>58</v>
      </c>
      <c r="C59" t="s">
        <v>1328</v>
      </c>
      <c r="D59">
        <v>61</v>
      </c>
      <c r="E59" s="21">
        <v>17295</v>
      </c>
      <c r="F59" s="21">
        <v>1174637</v>
      </c>
      <c r="G59">
        <v>0.10199999999999999</v>
      </c>
      <c r="H59">
        <v>30</v>
      </c>
      <c r="I59">
        <v>751</v>
      </c>
      <c r="J59">
        <v>1</v>
      </c>
      <c r="K59" s="21">
        <v>146</v>
      </c>
    </row>
    <row r="60" spans="1:11" x14ac:dyDescent="0.3">
      <c r="A60" t="s">
        <v>2309</v>
      </c>
      <c r="B60">
        <v>59</v>
      </c>
      <c r="C60" t="s">
        <v>1329</v>
      </c>
      <c r="D60">
        <v>56</v>
      </c>
      <c r="E60" s="21">
        <v>99712</v>
      </c>
      <c r="F60" s="21">
        <v>1006085</v>
      </c>
      <c r="G60">
        <v>0.10199999999999999</v>
      </c>
      <c r="H60">
        <v>20</v>
      </c>
      <c r="I60">
        <v>818</v>
      </c>
      <c r="J60">
        <v>13</v>
      </c>
      <c r="K60" s="21">
        <v>1584</v>
      </c>
    </row>
    <row r="61" spans="1:11" x14ac:dyDescent="0.3">
      <c r="A61" t="s">
        <v>2309</v>
      </c>
      <c r="B61">
        <v>60</v>
      </c>
      <c r="C61" t="s">
        <v>1330</v>
      </c>
      <c r="D61">
        <v>31</v>
      </c>
      <c r="E61" s="21">
        <v>46561</v>
      </c>
      <c r="F61" s="21">
        <v>1255700</v>
      </c>
      <c r="G61">
        <v>0.107</v>
      </c>
      <c r="H61">
        <v>10</v>
      </c>
      <c r="I61">
        <v>605</v>
      </c>
      <c r="J61">
        <v>6</v>
      </c>
      <c r="K61" s="21">
        <v>10226</v>
      </c>
    </row>
    <row r="62" spans="1:11" x14ac:dyDescent="0.3">
      <c r="A62" t="s">
        <v>2309</v>
      </c>
      <c r="B62">
        <v>61</v>
      </c>
      <c r="C62" t="s">
        <v>1331</v>
      </c>
      <c r="D62">
        <v>49</v>
      </c>
      <c r="E62" s="21">
        <v>107721</v>
      </c>
      <c r="F62" s="21">
        <v>500790</v>
      </c>
      <c r="G62">
        <v>0.108</v>
      </c>
      <c r="H62">
        <v>25</v>
      </c>
      <c r="I62">
        <v>835</v>
      </c>
      <c r="J62">
        <v>3</v>
      </c>
      <c r="K62" s="21">
        <v>33580</v>
      </c>
    </row>
    <row r="63" spans="1:11" x14ac:dyDescent="0.3">
      <c r="A63" t="s">
        <v>2309</v>
      </c>
      <c r="B63">
        <v>62</v>
      </c>
      <c r="C63" t="s">
        <v>1332</v>
      </c>
      <c r="D63">
        <v>47</v>
      </c>
      <c r="E63" s="21">
        <v>57868</v>
      </c>
      <c r="F63" s="21">
        <v>1600456</v>
      </c>
      <c r="G63">
        <v>9.1999999999999998E-2</v>
      </c>
      <c r="H63">
        <v>15</v>
      </c>
      <c r="I63">
        <v>750</v>
      </c>
      <c r="J63">
        <v>13</v>
      </c>
      <c r="K63" s="21">
        <v>46707</v>
      </c>
    </row>
    <row r="64" spans="1:11" x14ac:dyDescent="0.3">
      <c r="A64" t="s">
        <v>2309</v>
      </c>
      <c r="B64">
        <v>63</v>
      </c>
      <c r="C64" t="s">
        <v>1333</v>
      </c>
      <c r="D64">
        <v>40</v>
      </c>
      <c r="E64" s="21">
        <v>46262</v>
      </c>
      <c r="F64" s="21">
        <v>1179222</v>
      </c>
      <c r="G64">
        <v>0.08</v>
      </c>
      <c r="H64">
        <v>20</v>
      </c>
      <c r="I64">
        <v>671</v>
      </c>
      <c r="J64">
        <v>10</v>
      </c>
      <c r="K64" s="21">
        <v>39585</v>
      </c>
    </row>
    <row r="65" spans="1:11" x14ac:dyDescent="0.3">
      <c r="A65" t="s">
        <v>2309</v>
      </c>
      <c r="B65">
        <v>64</v>
      </c>
      <c r="C65" t="s">
        <v>1334</v>
      </c>
      <c r="D65">
        <v>36</v>
      </c>
      <c r="E65" s="21">
        <v>41938</v>
      </c>
      <c r="F65" s="21">
        <v>1397889</v>
      </c>
      <c r="G65">
        <v>9.5000000000000001E-2</v>
      </c>
      <c r="H65">
        <v>20</v>
      </c>
      <c r="I65">
        <v>623</v>
      </c>
      <c r="J65">
        <v>2</v>
      </c>
      <c r="K65" s="21">
        <v>44158</v>
      </c>
    </row>
    <row r="66" spans="1:11" x14ac:dyDescent="0.3">
      <c r="A66" t="s">
        <v>2309</v>
      </c>
      <c r="B66">
        <v>65</v>
      </c>
      <c r="C66" t="s">
        <v>1335</v>
      </c>
      <c r="D66">
        <v>56</v>
      </c>
      <c r="E66" s="21">
        <v>53714</v>
      </c>
      <c r="F66" s="21">
        <v>1862434</v>
      </c>
      <c r="G66">
        <v>0.108</v>
      </c>
      <c r="H66">
        <v>20</v>
      </c>
      <c r="I66">
        <v>783</v>
      </c>
      <c r="J66">
        <v>7</v>
      </c>
      <c r="K66" s="21">
        <v>12082</v>
      </c>
    </row>
    <row r="67" spans="1:11" x14ac:dyDescent="0.3">
      <c r="A67" t="s">
        <v>2309</v>
      </c>
      <c r="B67">
        <v>66</v>
      </c>
      <c r="C67" t="s">
        <v>1336</v>
      </c>
      <c r="D67">
        <v>59</v>
      </c>
      <c r="E67" s="21">
        <v>41091</v>
      </c>
      <c r="F67" s="21">
        <v>1553060</v>
      </c>
      <c r="G67">
        <v>9.1999999999999998E-2</v>
      </c>
      <c r="H67">
        <v>30</v>
      </c>
      <c r="I67">
        <v>609</v>
      </c>
      <c r="J67">
        <v>0</v>
      </c>
      <c r="K67" s="21">
        <v>31711</v>
      </c>
    </row>
    <row r="68" spans="1:11" x14ac:dyDescent="0.3">
      <c r="A68" t="s">
        <v>2309</v>
      </c>
      <c r="B68">
        <v>67</v>
      </c>
      <c r="C68" t="s">
        <v>1337</v>
      </c>
      <c r="D68">
        <v>46</v>
      </c>
      <c r="E68" s="21">
        <v>96709</v>
      </c>
      <c r="F68" s="21">
        <v>1849070</v>
      </c>
      <c r="G68">
        <v>0.111</v>
      </c>
      <c r="H68">
        <v>25</v>
      </c>
      <c r="I68">
        <v>709</v>
      </c>
      <c r="J68">
        <v>15</v>
      </c>
      <c r="K68" s="21">
        <v>22643</v>
      </c>
    </row>
    <row r="69" spans="1:11" x14ac:dyDescent="0.3">
      <c r="A69" t="s">
        <v>2309</v>
      </c>
      <c r="B69">
        <v>68</v>
      </c>
      <c r="C69" t="s">
        <v>1338</v>
      </c>
      <c r="D69">
        <v>30</v>
      </c>
      <c r="E69" s="21">
        <v>81800</v>
      </c>
      <c r="F69" s="21">
        <v>2398755</v>
      </c>
      <c r="G69">
        <v>0.10199999999999999</v>
      </c>
      <c r="H69">
        <v>20</v>
      </c>
      <c r="I69">
        <v>713</v>
      </c>
      <c r="J69">
        <v>0</v>
      </c>
      <c r="K69" s="21">
        <v>7100</v>
      </c>
    </row>
    <row r="70" spans="1:11" x14ac:dyDescent="0.3">
      <c r="A70" t="s">
        <v>2309</v>
      </c>
      <c r="B70">
        <v>69</v>
      </c>
      <c r="C70" t="s">
        <v>1339</v>
      </c>
      <c r="D70">
        <v>61</v>
      </c>
      <c r="E70" s="21">
        <v>73199</v>
      </c>
      <c r="F70" s="21">
        <v>2093274</v>
      </c>
      <c r="G70">
        <v>0.09</v>
      </c>
      <c r="H70">
        <v>10</v>
      </c>
      <c r="I70">
        <v>675</v>
      </c>
      <c r="J70">
        <v>10</v>
      </c>
      <c r="K70" s="21">
        <v>7050</v>
      </c>
    </row>
    <row r="71" spans="1:11" x14ac:dyDescent="0.3">
      <c r="A71" t="s">
        <v>2309</v>
      </c>
      <c r="B71">
        <v>70</v>
      </c>
      <c r="C71" t="s">
        <v>1340</v>
      </c>
      <c r="D71">
        <v>32</v>
      </c>
      <c r="E71" s="21">
        <v>72631</v>
      </c>
      <c r="F71" s="21">
        <v>1012162</v>
      </c>
      <c r="G71">
        <v>9.8000000000000004E-2</v>
      </c>
      <c r="H71">
        <v>10</v>
      </c>
      <c r="I71">
        <v>702</v>
      </c>
      <c r="J71">
        <v>5</v>
      </c>
      <c r="K71" s="21">
        <v>21958</v>
      </c>
    </row>
    <row r="72" spans="1:11" x14ac:dyDescent="0.3">
      <c r="A72" t="s">
        <v>2309</v>
      </c>
      <c r="B72">
        <v>71</v>
      </c>
      <c r="C72" t="s">
        <v>1341</v>
      </c>
      <c r="D72">
        <v>20</v>
      </c>
      <c r="E72" s="21">
        <v>43868</v>
      </c>
      <c r="F72" s="21">
        <v>2198371</v>
      </c>
      <c r="G72">
        <v>8.6999999999999994E-2</v>
      </c>
      <c r="H72">
        <v>20</v>
      </c>
      <c r="I72">
        <v>769</v>
      </c>
      <c r="J72">
        <v>9</v>
      </c>
      <c r="K72" s="21">
        <v>2027</v>
      </c>
    </row>
    <row r="73" spans="1:11" x14ac:dyDescent="0.3">
      <c r="A73" t="s">
        <v>2309</v>
      </c>
      <c r="B73">
        <v>72</v>
      </c>
      <c r="C73" t="s">
        <v>1342</v>
      </c>
      <c r="D73">
        <v>60</v>
      </c>
      <c r="E73" s="21">
        <v>54086</v>
      </c>
      <c r="F73" s="21">
        <v>923759</v>
      </c>
      <c r="G73">
        <v>9.1999999999999998E-2</v>
      </c>
      <c r="H73">
        <v>20</v>
      </c>
      <c r="I73">
        <v>648</v>
      </c>
      <c r="J73">
        <v>12</v>
      </c>
      <c r="K73" s="21">
        <v>1884</v>
      </c>
    </row>
    <row r="74" spans="1:11" x14ac:dyDescent="0.3">
      <c r="A74" t="s">
        <v>2309</v>
      </c>
      <c r="B74">
        <v>73</v>
      </c>
      <c r="C74" t="s">
        <v>1343</v>
      </c>
      <c r="D74">
        <v>48</v>
      </c>
      <c r="E74" s="21">
        <v>118995</v>
      </c>
      <c r="F74" s="21">
        <v>2460956</v>
      </c>
      <c r="G74">
        <v>9.6000000000000002E-2</v>
      </c>
      <c r="H74">
        <v>10</v>
      </c>
      <c r="I74">
        <v>818</v>
      </c>
      <c r="J74">
        <v>12</v>
      </c>
      <c r="K74" s="21">
        <v>14662</v>
      </c>
    </row>
    <row r="75" spans="1:11" x14ac:dyDescent="0.3">
      <c r="A75" t="s">
        <v>2309</v>
      </c>
      <c r="B75">
        <v>74</v>
      </c>
      <c r="C75" t="s">
        <v>1344</v>
      </c>
      <c r="D75">
        <v>39</v>
      </c>
      <c r="E75" s="21">
        <v>81348</v>
      </c>
      <c r="F75" s="21">
        <v>1345887</v>
      </c>
      <c r="G75">
        <v>9.4E-2</v>
      </c>
      <c r="H75">
        <v>30</v>
      </c>
      <c r="I75">
        <v>705</v>
      </c>
      <c r="J75">
        <v>3</v>
      </c>
      <c r="K75" s="21">
        <v>16833</v>
      </c>
    </row>
    <row r="76" spans="1:11" x14ac:dyDescent="0.3">
      <c r="A76" t="s">
        <v>2309</v>
      </c>
      <c r="B76">
        <v>75</v>
      </c>
      <c r="C76" t="s">
        <v>1345</v>
      </c>
      <c r="D76">
        <v>59</v>
      </c>
      <c r="E76" s="21">
        <v>95027</v>
      </c>
      <c r="F76" s="21">
        <v>2292112</v>
      </c>
      <c r="G76">
        <v>9.9000000000000005E-2</v>
      </c>
      <c r="H76">
        <v>10</v>
      </c>
      <c r="I76">
        <v>815</v>
      </c>
      <c r="J76">
        <v>7</v>
      </c>
      <c r="K76" s="21">
        <v>24811</v>
      </c>
    </row>
    <row r="77" spans="1:11" x14ac:dyDescent="0.3">
      <c r="A77" t="s">
        <v>2309</v>
      </c>
      <c r="B77">
        <v>76</v>
      </c>
      <c r="C77" t="s">
        <v>1346</v>
      </c>
      <c r="D77">
        <v>52</v>
      </c>
      <c r="E77" s="21">
        <v>89805</v>
      </c>
      <c r="F77" s="21">
        <v>1178667</v>
      </c>
      <c r="G77">
        <v>0.11600000000000001</v>
      </c>
      <c r="H77">
        <v>20</v>
      </c>
      <c r="I77">
        <v>635</v>
      </c>
      <c r="J77">
        <v>2</v>
      </c>
      <c r="K77" s="21">
        <v>11956</v>
      </c>
    </row>
    <row r="78" spans="1:11" x14ac:dyDescent="0.3">
      <c r="A78" t="s">
        <v>2309</v>
      </c>
      <c r="B78">
        <v>77</v>
      </c>
      <c r="C78" t="s">
        <v>1347</v>
      </c>
      <c r="D78">
        <v>50</v>
      </c>
      <c r="E78" s="21">
        <v>56757</v>
      </c>
      <c r="F78" s="21">
        <v>1572035</v>
      </c>
      <c r="G78">
        <v>9.8000000000000004E-2</v>
      </c>
      <c r="H78">
        <v>30</v>
      </c>
      <c r="I78">
        <v>754</v>
      </c>
      <c r="J78">
        <v>4</v>
      </c>
      <c r="K78" s="21">
        <v>7099</v>
      </c>
    </row>
    <row r="79" spans="1:11" x14ac:dyDescent="0.3">
      <c r="A79" t="s">
        <v>2309</v>
      </c>
      <c r="B79">
        <v>78</v>
      </c>
      <c r="C79" t="s">
        <v>1348</v>
      </c>
      <c r="D79">
        <v>24</v>
      </c>
      <c r="E79" s="21">
        <v>41094</v>
      </c>
      <c r="F79" s="21">
        <v>583921</v>
      </c>
      <c r="G79">
        <v>9.6000000000000002E-2</v>
      </c>
      <c r="H79">
        <v>15</v>
      </c>
      <c r="I79">
        <v>836</v>
      </c>
      <c r="J79">
        <v>15</v>
      </c>
      <c r="K79" s="21">
        <v>19926</v>
      </c>
    </row>
    <row r="80" spans="1:11" x14ac:dyDescent="0.3">
      <c r="A80" t="s">
        <v>2309</v>
      </c>
      <c r="B80">
        <v>79</v>
      </c>
      <c r="C80" t="s">
        <v>1349</v>
      </c>
      <c r="D80">
        <v>52</v>
      </c>
      <c r="E80" s="21">
        <v>54331</v>
      </c>
      <c r="F80" s="21">
        <v>1965705</v>
      </c>
      <c r="G80">
        <v>8.7999999999999995E-2</v>
      </c>
      <c r="H80">
        <v>20</v>
      </c>
      <c r="I80">
        <v>659</v>
      </c>
      <c r="J80">
        <v>6</v>
      </c>
      <c r="K80" s="21">
        <v>37941</v>
      </c>
    </row>
    <row r="81" spans="1:11" x14ac:dyDescent="0.3">
      <c r="A81" t="s">
        <v>2309</v>
      </c>
      <c r="B81">
        <v>80</v>
      </c>
      <c r="C81" t="s">
        <v>1350</v>
      </c>
      <c r="D81">
        <v>64</v>
      </c>
      <c r="E81" s="21">
        <v>27622</v>
      </c>
      <c r="F81" s="21">
        <v>1516552</v>
      </c>
      <c r="G81">
        <v>0.10100000000000001</v>
      </c>
      <c r="H81">
        <v>25</v>
      </c>
      <c r="I81">
        <v>623</v>
      </c>
      <c r="J81">
        <v>2</v>
      </c>
      <c r="K81" s="21">
        <v>32637</v>
      </c>
    </row>
    <row r="82" spans="1:11" x14ac:dyDescent="0.3">
      <c r="A82" t="s">
        <v>2309</v>
      </c>
      <c r="B82">
        <v>81</v>
      </c>
      <c r="C82" t="s">
        <v>1351</v>
      </c>
      <c r="D82">
        <v>60</v>
      </c>
      <c r="E82" s="21">
        <v>41436</v>
      </c>
      <c r="F82" s="21">
        <v>985000</v>
      </c>
      <c r="G82">
        <v>9.2999999999999999E-2</v>
      </c>
      <c r="H82">
        <v>15</v>
      </c>
      <c r="I82">
        <v>762</v>
      </c>
      <c r="J82">
        <v>6</v>
      </c>
      <c r="K82" s="21">
        <v>30865</v>
      </c>
    </row>
    <row r="83" spans="1:11" x14ac:dyDescent="0.3">
      <c r="A83" t="s">
        <v>2309</v>
      </c>
      <c r="B83">
        <v>82</v>
      </c>
      <c r="C83" t="s">
        <v>1352</v>
      </c>
      <c r="D83">
        <v>21</v>
      </c>
      <c r="E83" s="21">
        <v>87152</v>
      </c>
      <c r="F83" s="21">
        <v>2226421</v>
      </c>
      <c r="G83">
        <v>0.11</v>
      </c>
      <c r="H83">
        <v>15</v>
      </c>
      <c r="I83">
        <v>639</v>
      </c>
      <c r="J83">
        <v>1</v>
      </c>
      <c r="K83" s="21">
        <v>2783</v>
      </c>
    </row>
    <row r="84" spans="1:11" x14ac:dyDescent="0.3">
      <c r="A84" t="s">
        <v>2309</v>
      </c>
      <c r="B84">
        <v>83</v>
      </c>
      <c r="C84" t="s">
        <v>1353</v>
      </c>
      <c r="D84">
        <v>36</v>
      </c>
      <c r="E84" s="21">
        <v>100052</v>
      </c>
      <c r="F84" s="21">
        <v>2190516</v>
      </c>
      <c r="G84">
        <v>0.104</v>
      </c>
      <c r="H84">
        <v>20</v>
      </c>
      <c r="I84">
        <v>660</v>
      </c>
      <c r="J84">
        <v>5</v>
      </c>
      <c r="K84" s="21">
        <v>28604</v>
      </c>
    </row>
    <row r="85" spans="1:11" x14ac:dyDescent="0.3">
      <c r="A85" t="s">
        <v>2309</v>
      </c>
      <c r="B85">
        <v>84</v>
      </c>
      <c r="C85" t="s">
        <v>1354</v>
      </c>
      <c r="D85">
        <v>20</v>
      </c>
      <c r="E85" s="21">
        <v>50521</v>
      </c>
      <c r="F85" s="21">
        <v>2115509</v>
      </c>
      <c r="G85">
        <v>0.106</v>
      </c>
      <c r="H85">
        <v>20</v>
      </c>
      <c r="I85">
        <v>780</v>
      </c>
      <c r="J85">
        <v>12</v>
      </c>
      <c r="K85" s="21">
        <v>32788</v>
      </c>
    </row>
    <row r="86" spans="1:11" x14ac:dyDescent="0.3">
      <c r="A86" t="s">
        <v>2309</v>
      </c>
      <c r="B86">
        <v>85</v>
      </c>
      <c r="C86" t="s">
        <v>1355</v>
      </c>
      <c r="D86">
        <v>62</v>
      </c>
      <c r="E86" s="21">
        <v>115457</v>
      </c>
      <c r="F86" s="21">
        <v>1173697</v>
      </c>
      <c r="G86">
        <v>9.8000000000000004E-2</v>
      </c>
      <c r="H86">
        <v>20</v>
      </c>
      <c r="I86">
        <v>648</v>
      </c>
      <c r="J86">
        <v>3</v>
      </c>
      <c r="K86" s="21">
        <v>32365</v>
      </c>
    </row>
    <row r="87" spans="1:11" x14ac:dyDescent="0.3">
      <c r="A87" t="s">
        <v>2309</v>
      </c>
      <c r="B87">
        <v>86</v>
      </c>
      <c r="C87" t="s">
        <v>1356</v>
      </c>
      <c r="D87">
        <v>46</v>
      </c>
      <c r="E87" s="21">
        <v>66814</v>
      </c>
      <c r="F87" s="21">
        <v>1967157</v>
      </c>
      <c r="G87">
        <v>0.113</v>
      </c>
      <c r="H87">
        <v>30</v>
      </c>
      <c r="I87">
        <v>767</v>
      </c>
      <c r="J87">
        <v>1</v>
      </c>
      <c r="K87" s="21">
        <v>19320</v>
      </c>
    </row>
    <row r="88" spans="1:11" x14ac:dyDescent="0.3">
      <c r="A88" t="s">
        <v>2309</v>
      </c>
      <c r="B88">
        <v>87</v>
      </c>
      <c r="C88" t="s">
        <v>1357</v>
      </c>
      <c r="D88">
        <v>62</v>
      </c>
      <c r="E88" s="21">
        <v>116403</v>
      </c>
      <c r="F88" s="21">
        <v>1674478</v>
      </c>
      <c r="G88">
        <v>0.114</v>
      </c>
      <c r="H88">
        <v>10</v>
      </c>
      <c r="I88">
        <v>680</v>
      </c>
      <c r="J88">
        <v>8</v>
      </c>
      <c r="K88" s="21">
        <v>12124</v>
      </c>
    </row>
    <row r="89" spans="1:11" x14ac:dyDescent="0.3">
      <c r="A89" t="s">
        <v>2309</v>
      </c>
      <c r="B89">
        <v>88</v>
      </c>
      <c r="C89" t="s">
        <v>1358</v>
      </c>
      <c r="D89">
        <v>43</v>
      </c>
      <c r="E89" s="21">
        <v>101326</v>
      </c>
      <c r="F89" s="21">
        <v>1419496</v>
      </c>
      <c r="G89">
        <v>9.6000000000000002E-2</v>
      </c>
      <c r="H89">
        <v>15</v>
      </c>
      <c r="I89">
        <v>664</v>
      </c>
      <c r="J89">
        <v>9</v>
      </c>
      <c r="K89" s="21">
        <v>39078</v>
      </c>
    </row>
    <row r="90" spans="1:11" x14ac:dyDescent="0.3">
      <c r="A90" t="s">
        <v>2309</v>
      </c>
      <c r="B90">
        <v>89</v>
      </c>
      <c r="C90" t="s">
        <v>1359</v>
      </c>
      <c r="D90">
        <v>26</v>
      </c>
      <c r="E90" s="21">
        <v>108809</v>
      </c>
      <c r="F90" s="21">
        <v>1701969</v>
      </c>
      <c r="G90">
        <v>0.09</v>
      </c>
      <c r="H90">
        <v>25</v>
      </c>
      <c r="I90">
        <v>728</v>
      </c>
      <c r="J90">
        <v>15</v>
      </c>
      <c r="K90" s="21">
        <v>45290</v>
      </c>
    </row>
    <row r="91" spans="1:11" x14ac:dyDescent="0.3">
      <c r="A91" t="s">
        <v>2309</v>
      </c>
      <c r="B91">
        <v>90</v>
      </c>
      <c r="C91" t="s">
        <v>1360</v>
      </c>
      <c r="D91">
        <v>37</v>
      </c>
      <c r="E91" s="21">
        <v>70495</v>
      </c>
      <c r="F91" s="21">
        <v>2351748</v>
      </c>
      <c r="G91">
        <v>0.11600000000000001</v>
      </c>
      <c r="H91">
        <v>25</v>
      </c>
      <c r="I91">
        <v>766</v>
      </c>
      <c r="J91">
        <v>13</v>
      </c>
      <c r="K91" s="21">
        <v>21312</v>
      </c>
    </row>
    <row r="92" spans="1:11" x14ac:dyDescent="0.3">
      <c r="A92" t="s">
        <v>2309</v>
      </c>
      <c r="B92">
        <v>91</v>
      </c>
      <c r="C92" t="s">
        <v>1361</v>
      </c>
      <c r="D92">
        <v>37</v>
      </c>
      <c r="E92" s="21">
        <v>103670</v>
      </c>
      <c r="F92" s="21">
        <v>2098642</v>
      </c>
      <c r="G92">
        <v>8.5999999999999993E-2</v>
      </c>
      <c r="H92">
        <v>30</v>
      </c>
      <c r="I92">
        <v>786</v>
      </c>
      <c r="J92">
        <v>2</v>
      </c>
      <c r="K92" s="21">
        <v>10418</v>
      </c>
    </row>
    <row r="93" spans="1:11" x14ac:dyDescent="0.3">
      <c r="A93" t="s">
        <v>2309</v>
      </c>
      <c r="B93">
        <v>92</v>
      </c>
      <c r="C93" t="s">
        <v>1362</v>
      </c>
      <c r="D93">
        <v>52</v>
      </c>
      <c r="E93" s="21">
        <v>72140</v>
      </c>
      <c r="F93" s="21">
        <v>565222</v>
      </c>
      <c r="G93">
        <v>0.11899999999999999</v>
      </c>
      <c r="H93">
        <v>25</v>
      </c>
      <c r="I93">
        <v>624</v>
      </c>
      <c r="J93">
        <v>4</v>
      </c>
      <c r="K93" s="21">
        <v>13777</v>
      </c>
    </row>
    <row r="94" spans="1:11" x14ac:dyDescent="0.3">
      <c r="A94" t="s">
        <v>2309</v>
      </c>
      <c r="B94">
        <v>93</v>
      </c>
      <c r="C94" t="s">
        <v>1363</v>
      </c>
      <c r="D94">
        <v>59</v>
      </c>
      <c r="E94" s="21">
        <v>36492</v>
      </c>
      <c r="F94" s="21">
        <v>2416532</v>
      </c>
      <c r="G94">
        <v>0.109</v>
      </c>
      <c r="H94">
        <v>10</v>
      </c>
      <c r="I94">
        <v>801</v>
      </c>
      <c r="J94">
        <v>11</v>
      </c>
      <c r="K94" s="21">
        <v>46987</v>
      </c>
    </row>
    <row r="95" spans="1:11" x14ac:dyDescent="0.3">
      <c r="A95" t="s">
        <v>2309</v>
      </c>
      <c r="B95">
        <v>94</v>
      </c>
      <c r="C95" t="s">
        <v>1364</v>
      </c>
      <c r="D95">
        <v>65</v>
      </c>
      <c r="E95" s="21">
        <v>77459</v>
      </c>
      <c r="F95" s="21">
        <v>1377173</v>
      </c>
      <c r="G95">
        <v>0.112</v>
      </c>
      <c r="H95">
        <v>15</v>
      </c>
      <c r="I95">
        <v>781</v>
      </c>
      <c r="J95">
        <v>7</v>
      </c>
      <c r="K95" s="21">
        <v>38834</v>
      </c>
    </row>
    <row r="96" spans="1:11" x14ac:dyDescent="0.3">
      <c r="A96" t="s">
        <v>2309</v>
      </c>
      <c r="B96">
        <v>95</v>
      </c>
      <c r="C96" t="s">
        <v>1365</v>
      </c>
      <c r="D96">
        <v>43</v>
      </c>
      <c r="E96" s="21">
        <v>36166</v>
      </c>
      <c r="F96" s="21">
        <v>1336419</v>
      </c>
      <c r="G96">
        <v>9.9000000000000005E-2</v>
      </c>
      <c r="H96">
        <v>10</v>
      </c>
      <c r="I96">
        <v>697</v>
      </c>
      <c r="J96">
        <v>11</v>
      </c>
      <c r="K96" s="21">
        <v>44547</v>
      </c>
    </row>
    <row r="97" spans="1:11" x14ac:dyDescent="0.3">
      <c r="A97" t="s">
        <v>2309</v>
      </c>
      <c r="B97">
        <v>96</v>
      </c>
      <c r="C97" t="s">
        <v>1366</v>
      </c>
      <c r="D97">
        <v>43</v>
      </c>
      <c r="E97" s="21">
        <v>15582</v>
      </c>
      <c r="F97" s="21">
        <v>972610</v>
      </c>
      <c r="G97">
        <v>8.5999999999999993E-2</v>
      </c>
      <c r="H97">
        <v>15</v>
      </c>
      <c r="I97">
        <v>658</v>
      </c>
      <c r="J97">
        <v>15</v>
      </c>
      <c r="K97" s="21">
        <v>39203</v>
      </c>
    </row>
    <row r="98" spans="1:11" x14ac:dyDescent="0.3">
      <c r="A98" t="s">
        <v>2309</v>
      </c>
      <c r="B98">
        <v>97</v>
      </c>
      <c r="C98" t="s">
        <v>1367</v>
      </c>
      <c r="D98">
        <v>34</v>
      </c>
      <c r="E98" s="21">
        <v>92634</v>
      </c>
      <c r="F98" s="21">
        <v>1239094</v>
      </c>
      <c r="G98">
        <v>0.12</v>
      </c>
      <c r="H98">
        <v>15</v>
      </c>
      <c r="I98">
        <v>802</v>
      </c>
      <c r="J98">
        <v>11</v>
      </c>
      <c r="K98" s="21">
        <v>21809</v>
      </c>
    </row>
    <row r="99" spans="1:11" x14ac:dyDescent="0.3">
      <c r="A99" t="s">
        <v>2309</v>
      </c>
      <c r="B99">
        <v>98</v>
      </c>
      <c r="C99" t="s">
        <v>1368</v>
      </c>
      <c r="D99">
        <v>36</v>
      </c>
      <c r="E99" s="21">
        <v>65888</v>
      </c>
      <c r="F99" s="21">
        <v>976290</v>
      </c>
      <c r="G99">
        <v>0.10199999999999999</v>
      </c>
      <c r="H99">
        <v>25</v>
      </c>
      <c r="I99">
        <v>810</v>
      </c>
      <c r="J99">
        <v>4</v>
      </c>
      <c r="K99" s="21">
        <v>22329</v>
      </c>
    </row>
    <row r="100" spans="1:11" x14ac:dyDescent="0.3">
      <c r="A100" t="s">
        <v>2309</v>
      </c>
      <c r="B100">
        <v>99</v>
      </c>
      <c r="C100" t="s">
        <v>1369</v>
      </c>
      <c r="D100">
        <v>54</v>
      </c>
      <c r="E100" s="21">
        <v>31983</v>
      </c>
      <c r="F100" s="21">
        <v>847438</v>
      </c>
      <c r="G100">
        <v>0.11600000000000001</v>
      </c>
      <c r="H100">
        <v>10</v>
      </c>
      <c r="I100">
        <v>800</v>
      </c>
      <c r="J100">
        <v>4</v>
      </c>
      <c r="K100" s="21">
        <v>5275</v>
      </c>
    </row>
    <row r="101" spans="1:11" x14ac:dyDescent="0.3">
      <c r="A101" t="s">
        <v>2309</v>
      </c>
      <c r="B101">
        <v>100</v>
      </c>
      <c r="C101" t="s">
        <v>1370</v>
      </c>
      <c r="D101">
        <v>45</v>
      </c>
      <c r="E101" s="21">
        <v>71713</v>
      </c>
      <c r="F101" s="21">
        <v>2275634</v>
      </c>
      <c r="G101">
        <v>0.113</v>
      </c>
      <c r="H101">
        <v>10</v>
      </c>
      <c r="I101">
        <v>744</v>
      </c>
      <c r="J101">
        <v>9</v>
      </c>
      <c r="K101" s="21">
        <v>6123</v>
      </c>
    </row>
    <row r="102" spans="1:11" x14ac:dyDescent="0.3">
      <c r="A102" t="s">
        <v>2309</v>
      </c>
      <c r="B102">
        <v>101</v>
      </c>
      <c r="C102" t="s">
        <v>1371</v>
      </c>
      <c r="D102">
        <v>60</v>
      </c>
      <c r="E102" s="21">
        <v>59020</v>
      </c>
      <c r="F102" s="21">
        <v>814123</v>
      </c>
      <c r="G102">
        <v>9.8000000000000004E-2</v>
      </c>
      <c r="H102">
        <v>30</v>
      </c>
      <c r="I102">
        <v>716</v>
      </c>
      <c r="J102">
        <v>5</v>
      </c>
      <c r="K102" s="21">
        <v>9616</v>
      </c>
    </row>
    <row r="103" spans="1:11" x14ac:dyDescent="0.3">
      <c r="A103" t="s">
        <v>2309</v>
      </c>
      <c r="B103">
        <v>102</v>
      </c>
      <c r="C103" t="s">
        <v>1372</v>
      </c>
      <c r="D103">
        <v>64</v>
      </c>
      <c r="E103" s="21">
        <v>21514</v>
      </c>
      <c r="F103" s="21">
        <v>1451260</v>
      </c>
      <c r="G103">
        <v>0.1</v>
      </c>
      <c r="H103">
        <v>20</v>
      </c>
      <c r="I103">
        <v>621</v>
      </c>
      <c r="J103">
        <v>6</v>
      </c>
      <c r="K103" s="21">
        <v>19961</v>
      </c>
    </row>
    <row r="104" spans="1:11" x14ac:dyDescent="0.3">
      <c r="A104" t="s">
        <v>2309</v>
      </c>
      <c r="B104">
        <v>103</v>
      </c>
      <c r="C104" t="s">
        <v>1373</v>
      </c>
      <c r="D104">
        <v>58</v>
      </c>
      <c r="E104" s="21">
        <v>66708</v>
      </c>
      <c r="F104" s="21">
        <v>1901123</v>
      </c>
      <c r="G104">
        <v>9.7000000000000003E-2</v>
      </c>
      <c r="H104">
        <v>15</v>
      </c>
      <c r="I104">
        <v>738</v>
      </c>
      <c r="J104">
        <v>3</v>
      </c>
      <c r="K104" s="21">
        <v>22075</v>
      </c>
    </row>
    <row r="105" spans="1:11" x14ac:dyDescent="0.3">
      <c r="A105" t="s">
        <v>2309</v>
      </c>
      <c r="B105">
        <v>104</v>
      </c>
      <c r="C105" t="s">
        <v>1374</v>
      </c>
      <c r="D105">
        <v>31</v>
      </c>
      <c r="E105" s="21">
        <v>99924</v>
      </c>
      <c r="F105" s="21">
        <v>1859579</v>
      </c>
      <c r="G105">
        <v>9.4E-2</v>
      </c>
      <c r="H105">
        <v>10</v>
      </c>
      <c r="I105">
        <v>744</v>
      </c>
      <c r="J105">
        <v>1</v>
      </c>
      <c r="K105" s="21">
        <v>1757</v>
      </c>
    </row>
    <row r="106" spans="1:11" x14ac:dyDescent="0.3">
      <c r="A106" t="s">
        <v>2309</v>
      </c>
      <c r="B106">
        <v>105</v>
      </c>
      <c r="C106" t="s">
        <v>1375</v>
      </c>
      <c r="D106">
        <v>37</v>
      </c>
      <c r="E106" s="21">
        <v>86399</v>
      </c>
      <c r="F106" s="21">
        <v>1725391</v>
      </c>
      <c r="G106">
        <v>0.11600000000000001</v>
      </c>
      <c r="H106">
        <v>25</v>
      </c>
      <c r="I106">
        <v>695</v>
      </c>
      <c r="J106">
        <v>9</v>
      </c>
      <c r="K106" s="21">
        <v>22614</v>
      </c>
    </row>
    <row r="107" spans="1:11" x14ac:dyDescent="0.3">
      <c r="A107" t="s">
        <v>2309</v>
      </c>
      <c r="B107">
        <v>106</v>
      </c>
      <c r="C107" t="s">
        <v>1376</v>
      </c>
      <c r="D107">
        <v>59</v>
      </c>
      <c r="E107" s="21">
        <v>88889</v>
      </c>
      <c r="F107" s="21">
        <v>2004169</v>
      </c>
      <c r="G107">
        <v>0.11700000000000001</v>
      </c>
      <c r="H107">
        <v>25</v>
      </c>
      <c r="I107">
        <v>835</v>
      </c>
      <c r="J107">
        <v>14</v>
      </c>
      <c r="K107" s="21">
        <v>7581</v>
      </c>
    </row>
    <row r="108" spans="1:11" x14ac:dyDescent="0.3">
      <c r="A108" t="s">
        <v>2309</v>
      </c>
      <c r="B108">
        <v>107</v>
      </c>
      <c r="C108" t="s">
        <v>1377</v>
      </c>
      <c r="D108">
        <v>49</v>
      </c>
      <c r="E108" s="21">
        <v>92690</v>
      </c>
      <c r="F108" s="21">
        <v>986301</v>
      </c>
      <c r="G108">
        <v>9.7000000000000003E-2</v>
      </c>
      <c r="H108">
        <v>30</v>
      </c>
      <c r="I108">
        <v>748</v>
      </c>
      <c r="J108">
        <v>8</v>
      </c>
      <c r="K108" s="21">
        <v>35530</v>
      </c>
    </row>
    <row r="109" spans="1:11" x14ac:dyDescent="0.3">
      <c r="A109" t="s">
        <v>2309</v>
      </c>
      <c r="B109">
        <v>108</v>
      </c>
      <c r="C109" t="s">
        <v>1378</v>
      </c>
      <c r="D109">
        <v>52</v>
      </c>
      <c r="E109" s="21">
        <v>87131</v>
      </c>
      <c r="F109" s="21">
        <v>866113</v>
      </c>
      <c r="G109">
        <v>0.113</v>
      </c>
      <c r="H109">
        <v>10</v>
      </c>
      <c r="I109">
        <v>745</v>
      </c>
      <c r="J109">
        <v>9</v>
      </c>
      <c r="K109" s="21">
        <v>6523</v>
      </c>
    </row>
    <row r="110" spans="1:11" x14ac:dyDescent="0.3">
      <c r="A110" t="s">
        <v>2309</v>
      </c>
      <c r="B110">
        <v>109</v>
      </c>
      <c r="C110" t="s">
        <v>1379</v>
      </c>
      <c r="D110">
        <v>21</v>
      </c>
      <c r="E110" s="21">
        <v>52075</v>
      </c>
      <c r="F110" s="21">
        <v>2283372</v>
      </c>
      <c r="G110">
        <v>0.108</v>
      </c>
      <c r="H110">
        <v>25</v>
      </c>
      <c r="I110">
        <v>842</v>
      </c>
      <c r="J110">
        <v>8</v>
      </c>
      <c r="K110" s="21">
        <v>6377</v>
      </c>
    </row>
    <row r="111" spans="1:11" x14ac:dyDescent="0.3">
      <c r="A111" t="s">
        <v>2309</v>
      </c>
      <c r="B111">
        <v>110</v>
      </c>
      <c r="C111" t="s">
        <v>1380</v>
      </c>
      <c r="D111">
        <v>63</v>
      </c>
      <c r="E111" s="21">
        <v>51321</v>
      </c>
      <c r="F111" s="21">
        <v>618104</v>
      </c>
      <c r="G111">
        <v>0.109</v>
      </c>
      <c r="H111">
        <v>25</v>
      </c>
      <c r="I111">
        <v>647</v>
      </c>
      <c r="J111">
        <v>1</v>
      </c>
      <c r="K111" s="21">
        <v>12575</v>
      </c>
    </row>
    <row r="112" spans="1:11" x14ac:dyDescent="0.3">
      <c r="A112" t="s">
        <v>2309</v>
      </c>
      <c r="B112">
        <v>111</v>
      </c>
      <c r="C112" t="s">
        <v>1381</v>
      </c>
      <c r="D112">
        <v>47</v>
      </c>
      <c r="E112" s="21">
        <v>56807</v>
      </c>
      <c r="F112" s="21">
        <v>1527226</v>
      </c>
      <c r="G112">
        <v>9.6000000000000002E-2</v>
      </c>
      <c r="H112">
        <v>30</v>
      </c>
      <c r="I112">
        <v>672</v>
      </c>
      <c r="J112">
        <v>0</v>
      </c>
      <c r="K112" s="21">
        <v>1429</v>
      </c>
    </row>
    <row r="113" spans="1:11" x14ac:dyDescent="0.3">
      <c r="A113" t="s">
        <v>2309</v>
      </c>
      <c r="B113">
        <v>112</v>
      </c>
      <c r="C113" t="s">
        <v>1382</v>
      </c>
      <c r="D113">
        <v>33</v>
      </c>
      <c r="E113" s="21">
        <v>72853</v>
      </c>
      <c r="F113" s="21">
        <v>1013356</v>
      </c>
      <c r="G113">
        <v>0.11799999999999999</v>
      </c>
      <c r="H113">
        <v>25</v>
      </c>
      <c r="I113">
        <v>829</v>
      </c>
      <c r="J113">
        <v>8</v>
      </c>
      <c r="K113" s="21">
        <v>45002</v>
      </c>
    </row>
    <row r="114" spans="1:11" x14ac:dyDescent="0.3">
      <c r="A114" t="s">
        <v>2309</v>
      </c>
      <c r="B114">
        <v>113</v>
      </c>
      <c r="C114" t="s">
        <v>1383</v>
      </c>
      <c r="D114">
        <v>28</v>
      </c>
      <c r="E114" s="21">
        <v>80079</v>
      </c>
      <c r="F114" s="21">
        <v>627614</v>
      </c>
      <c r="G114">
        <v>8.6999999999999994E-2</v>
      </c>
      <c r="H114">
        <v>10</v>
      </c>
      <c r="I114">
        <v>740</v>
      </c>
      <c r="J114">
        <v>9</v>
      </c>
      <c r="K114" s="21">
        <v>4531</v>
      </c>
    </row>
    <row r="115" spans="1:11" x14ac:dyDescent="0.3">
      <c r="A115" t="s">
        <v>2309</v>
      </c>
      <c r="B115">
        <v>114</v>
      </c>
      <c r="C115" t="s">
        <v>1384</v>
      </c>
      <c r="D115">
        <v>52</v>
      </c>
      <c r="E115" s="21">
        <v>89260</v>
      </c>
      <c r="F115" s="21">
        <v>845248</v>
      </c>
      <c r="G115">
        <v>9.0999999999999998E-2</v>
      </c>
      <c r="H115">
        <v>20</v>
      </c>
      <c r="I115">
        <v>740</v>
      </c>
      <c r="J115">
        <v>4</v>
      </c>
      <c r="K115" s="21">
        <v>10239</v>
      </c>
    </row>
    <row r="116" spans="1:11" x14ac:dyDescent="0.3">
      <c r="A116" t="s">
        <v>2309</v>
      </c>
      <c r="B116">
        <v>115</v>
      </c>
      <c r="C116" t="s">
        <v>1385</v>
      </c>
      <c r="D116">
        <v>51</v>
      </c>
      <c r="E116" s="21">
        <v>76994</v>
      </c>
      <c r="F116" s="21">
        <v>805323</v>
      </c>
      <c r="G116">
        <v>8.5999999999999993E-2</v>
      </c>
      <c r="H116">
        <v>10</v>
      </c>
      <c r="I116">
        <v>620</v>
      </c>
      <c r="J116">
        <v>8</v>
      </c>
      <c r="K116" s="21">
        <v>11596</v>
      </c>
    </row>
    <row r="117" spans="1:11" x14ac:dyDescent="0.3">
      <c r="A117" t="s">
        <v>2309</v>
      </c>
      <c r="B117">
        <v>116</v>
      </c>
      <c r="C117" t="s">
        <v>1386</v>
      </c>
      <c r="D117">
        <v>49</v>
      </c>
      <c r="E117" s="21">
        <v>109519</v>
      </c>
      <c r="F117" s="21">
        <v>1551762</v>
      </c>
      <c r="G117">
        <v>9.9000000000000005E-2</v>
      </c>
      <c r="H117">
        <v>20</v>
      </c>
      <c r="I117">
        <v>665</v>
      </c>
      <c r="J117">
        <v>13</v>
      </c>
      <c r="K117" s="21">
        <v>19189</v>
      </c>
    </row>
    <row r="118" spans="1:11" x14ac:dyDescent="0.3">
      <c r="A118" t="s">
        <v>2309</v>
      </c>
      <c r="B118">
        <v>117</v>
      </c>
      <c r="C118" t="s">
        <v>1387</v>
      </c>
      <c r="D118">
        <v>46</v>
      </c>
      <c r="E118" s="21">
        <v>76574</v>
      </c>
      <c r="F118" s="21">
        <v>785619</v>
      </c>
      <c r="G118">
        <v>0.108</v>
      </c>
      <c r="H118">
        <v>25</v>
      </c>
      <c r="I118">
        <v>743</v>
      </c>
      <c r="J118">
        <v>13</v>
      </c>
      <c r="K118" s="21">
        <v>30212</v>
      </c>
    </row>
    <row r="119" spans="1:11" x14ac:dyDescent="0.3">
      <c r="A119" t="s">
        <v>2309</v>
      </c>
      <c r="B119">
        <v>118</v>
      </c>
      <c r="C119" t="s">
        <v>1388</v>
      </c>
      <c r="D119">
        <v>43</v>
      </c>
      <c r="E119" s="21">
        <v>62041</v>
      </c>
      <c r="F119" s="21">
        <v>1253589</v>
      </c>
      <c r="G119">
        <v>8.2000000000000003E-2</v>
      </c>
      <c r="H119">
        <v>15</v>
      </c>
      <c r="I119">
        <v>850</v>
      </c>
      <c r="J119">
        <v>8</v>
      </c>
      <c r="K119" s="21">
        <v>14809</v>
      </c>
    </row>
    <row r="120" spans="1:11" x14ac:dyDescent="0.3">
      <c r="A120" t="s">
        <v>2309</v>
      </c>
      <c r="B120">
        <v>119</v>
      </c>
      <c r="C120" t="s">
        <v>1389</v>
      </c>
      <c r="D120">
        <v>44</v>
      </c>
      <c r="E120" s="21">
        <v>99950</v>
      </c>
      <c r="F120" s="21">
        <v>701560</v>
      </c>
      <c r="G120">
        <v>0.114</v>
      </c>
      <c r="H120">
        <v>20</v>
      </c>
      <c r="I120">
        <v>744</v>
      </c>
      <c r="J120">
        <v>12</v>
      </c>
      <c r="K120" s="21">
        <v>27352</v>
      </c>
    </row>
    <row r="121" spans="1:11" x14ac:dyDescent="0.3">
      <c r="A121" t="s">
        <v>2309</v>
      </c>
      <c r="B121">
        <v>120</v>
      </c>
      <c r="C121" t="s">
        <v>1390</v>
      </c>
      <c r="D121">
        <v>60</v>
      </c>
      <c r="E121" s="21">
        <v>34626</v>
      </c>
      <c r="F121" s="21">
        <v>925770</v>
      </c>
      <c r="G121">
        <v>0.104</v>
      </c>
      <c r="H121">
        <v>30</v>
      </c>
      <c r="I121">
        <v>832</v>
      </c>
      <c r="J121">
        <v>4</v>
      </c>
      <c r="K121" s="21">
        <v>14551</v>
      </c>
    </row>
    <row r="122" spans="1:11" x14ac:dyDescent="0.3">
      <c r="A122" t="s">
        <v>2309</v>
      </c>
      <c r="B122">
        <v>121</v>
      </c>
      <c r="C122" t="s">
        <v>1391</v>
      </c>
      <c r="D122">
        <v>23</v>
      </c>
      <c r="E122" s="21">
        <v>22233</v>
      </c>
      <c r="F122" s="21">
        <v>1921837</v>
      </c>
      <c r="G122">
        <v>0.1</v>
      </c>
      <c r="H122">
        <v>30</v>
      </c>
      <c r="I122">
        <v>804</v>
      </c>
      <c r="J122">
        <v>7</v>
      </c>
      <c r="K122" s="21">
        <v>46731</v>
      </c>
    </row>
    <row r="123" spans="1:11" x14ac:dyDescent="0.3">
      <c r="A123" t="s">
        <v>2309</v>
      </c>
      <c r="B123">
        <v>122</v>
      </c>
      <c r="C123" t="s">
        <v>1392</v>
      </c>
      <c r="D123">
        <v>50</v>
      </c>
      <c r="E123" s="21">
        <v>71761</v>
      </c>
      <c r="F123" s="21">
        <v>1076975</v>
      </c>
      <c r="G123">
        <v>0.108</v>
      </c>
      <c r="H123">
        <v>30</v>
      </c>
      <c r="I123">
        <v>635</v>
      </c>
      <c r="J123">
        <v>5</v>
      </c>
      <c r="K123" s="21">
        <v>41932</v>
      </c>
    </row>
    <row r="124" spans="1:11" x14ac:dyDescent="0.3">
      <c r="A124" t="s">
        <v>2309</v>
      </c>
      <c r="B124">
        <v>123</v>
      </c>
      <c r="C124" t="s">
        <v>1393</v>
      </c>
      <c r="D124">
        <v>42</v>
      </c>
      <c r="E124" s="21">
        <v>82173</v>
      </c>
      <c r="F124" s="21">
        <v>1296405</v>
      </c>
      <c r="G124">
        <v>9.6000000000000002E-2</v>
      </c>
      <c r="H124">
        <v>25</v>
      </c>
      <c r="I124">
        <v>816</v>
      </c>
      <c r="J124">
        <v>3</v>
      </c>
      <c r="K124" s="21">
        <v>48328</v>
      </c>
    </row>
    <row r="125" spans="1:11" x14ac:dyDescent="0.3">
      <c r="A125" t="s">
        <v>2309</v>
      </c>
      <c r="B125">
        <v>124</v>
      </c>
      <c r="C125" t="s">
        <v>1394</v>
      </c>
      <c r="D125">
        <v>46</v>
      </c>
      <c r="E125" s="21">
        <v>67053</v>
      </c>
      <c r="F125" s="21">
        <v>1833728</v>
      </c>
      <c r="G125">
        <v>8.5999999999999993E-2</v>
      </c>
      <c r="H125">
        <v>15</v>
      </c>
      <c r="I125">
        <v>719</v>
      </c>
      <c r="J125">
        <v>2</v>
      </c>
      <c r="K125" s="21">
        <v>47138</v>
      </c>
    </row>
    <row r="126" spans="1:11" x14ac:dyDescent="0.3">
      <c r="A126" t="s">
        <v>2309</v>
      </c>
      <c r="B126">
        <v>125</v>
      </c>
      <c r="C126" t="s">
        <v>1395</v>
      </c>
      <c r="D126">
        <v>58</v>
      </c>
      <c r="E126" s="21">
        <v>117742</v>
      </c>
      <c r="F126" s="21">
        <v>1721234</v>
      </c>
      <c r="G126">
        <v>0.09</v>
      </c>
      <c r="H126">
        <v>10</v>
      </c>
      <c r="I126">
        <v>728</v>
      </c>
      <c r="J126">
        <v>9</v>
      </c>
      <c r="K126" s="21">
        <v>26404</v>
      </c>
    </row>
    <row r="127" spans="1:11" x14ac:dyDescent="0.3">
      <c r="A127" t="s">
        <v>2309</v>
      </c>
      <c r="B127">
        <v>126</v>
      </c>
      <c r="C127" t="s">
        <v>1396</v>
      </c>
      <c r="D127">
        <v>25</v>
      </c>
      <c r="E127" s="21">
        <v>89891</v>
      </c>
      <c r="F127" s="21">
        <v>1043552</v>
      </c>
      <c r="G127">
        <v>9.0999999999999998E-2</v>
      </c>
      <c r="H127">
        <v>25</v>
      </c>
      <c r="I127">
        <v>636</v>
      </c>
      <c r="J127">
        <v>9</v>
      </c>
      <c r="K127" s="21">
        <v>29730</v>
      </c>
    </row>
    <row r="128" spans="1:11" x14ac:dyDescent="0.3">
      <c r="A128" t="s">
        <v>2309</v>
      </c>
      <c r="B128">
        <v>127</v>
      </c>
      <c r="C128" t="s">
        <v>1397</v>
      </c>
      <c r="D128">
        <v>21</v>
      </c>
      <c r="E128" s="21">
        <v>19662</v>
      </c>
      <c r="F128" s="21">
        <v>1939237</v>
      </c>
      <c r="G128">
        <v>8.5000000000000006E-2</v>
      </c>
      <c r="H128">
        <v>15</v>
      </c>
      <c r="I128">
        <v>635</v>
      </c>
      <c r="J128">
        <v>8</v>
      </c>
      <c r="K128" s="21">
        <v>28150</v>
      </c>
    </row>
    <row r="129" spans="1:11" x14ac:dyDescent="0.3">
      <c r="A129" t="s">
        <v>2309</v>
      </c>
      <c r="B129">
        <v>128</v>
      </c>
      <c r="C129" t="s">
        <v>1398</v>
      </c>
      <c r="D129">
        <v>25</v>
      </c>
      <c r="E129" s="21">
        <v>119108</v>
      </c>
      <c r="F129" s="21">
        <v>1562982</v>
      </c>
      <c r="G129">
        <v>8.5000000000000006E-2</v>
      </c>
      <c r="H129">
        <v>10</v>
      </c>
      <c r="I129">
        <v>829</v>
      </c>
      <c r="J129">
        <v>14</v>
      </c>
      <c r="K129" s="21">
        <v>37807</v>
      </c>
    </row>
    <row r="130" spans="1:11" x14ac:dyDescent="0.3">
      <c r="A130" t="s">
        <v>2309</v>
      </c>
      <c r="B130">
        <v>129</v>
      </c>
      <c r="C130" t="s">
        <v>1399</v>
      </c>
      <c r="D130">
        <v>50</v>
      </c>
      <c r="E130" s="21">
        <v>62929</v>
      </c>
      <c r="F130" s="21">
        <v>2181322</v>
      </c>
      <c r="G130">
        <v>0.105</v>
      </c>
      <c r="H130">
        <v>20</v>
      </c>
      <c r="I130">
        <v>849</v>
      </c>
      <c r="J130">
        <v>13</v>
      </c>
      <c r="K130" s="21">
        <v>35997</v>
      </c>
    </row>
    <row r="131" spans="1:11" x14ac:dyDescent="0.3">
      <c r="A131" t="s">
        <v>2309</v>
      </c>
      <c r="B131">
        <v>130</v>
      </c>
      <c r="C131" t="s">
        <v>1400</v>
      </c>
      <c r="D131">
        <v>45</v>
      </c>
      <c r="E131" s="21">
        <v>104540</v>
      </c>
      <c r="F131" s="21">
        <v>897042</v>
      </c>
      <c r="G131">
        <v>0.10299999999999999</v>
      </c>
      <c r="H131">
        <v>10</v>
      </c>
      <c r="I131">
        <v>631</v>
      </c>
      <c r="J131">
        <v>1</v>
      </c>
      <c r="K131" s="21">
        <v>12966</v>
      </c>
    </row>
    <row r="132" spans="1:11" x14ac:dyDescent="0.3">
      <c r="A132" t="s">
        <v>2309</v>
      </c>
      <c r="B132">
        <v>131</v>
      </c>
      <c r="C132" t="s">
        <v>1401</v>
      </c>
      <c r="D132">
        <v>40</v>
      </c>
      <c r="E132" s="21">
        <v>93469</v>
      </c>
      <c r="F132" s="21">
        <v>1332329</v>
      </c>
      <c r="G132">
        <v>0.1</v>
      </c>
      <c r="H132">
        <v>10</v>
      </c>
      <c r="I132">
        <v>703</v>
      </c>
      <c r="J132">
        <v>12</v>
      </c>
      <c r="K132" s="21">
        <v>24454</v>
      </c>
    </row>
    <row r="133" spans="1:11" x14ac:dyDescent="0.3">
      <c r="A133" t="s">
        <v>2309</v>
      </c>
      <c r="B133">
        <v>132</v>
      </c>
      <c r="C133" t="s">
        <v>1402</v>
      </c>
      <c r="D133">
        <v>46</v>
      </c>
      <c r="E133" s="21">
        <v>67083</v>
      </c>
      <c r="F133" s="21">
        <v>1725427</v>
      </c>
      <c r="G133">
        <v>0.09</v>
      </c>
      <c r="H133">
        <v>10</v>
      </c>
      <c r="I133">
        <v>824</v>
      </c>
      <c r="J133">
        <v>12</v>
      </c>
      <c r="K133" s="21">
        <v>616</v>
      </c>
    </row>
    <row r="134" spans="1:11" x14ac:dyDescent="0.3">
      <c r="A134" t="s">
        <v>2309</v>
      </c>
      <c r="B134">
        <v>133</v>
      </c>
      <c r="C134" t="s">
        <v>1403</v>
      </c>
      <c r="D134">
        <v>36</v>
      </c>
      <c r="E134" s="21">
        <v>73122</v>
      </c>
      <c r="F134" s="21">
        <v>2344366</v>
      </c>
      <c r="G134">
        <v>8.6999999999999994E-2</v>
      </c>
      <c r="H134">
        <v>15</v>
      </c>
      <c r="I134">
        <v>842</v>
      </c>
      <c r="J134">
        <v>6</v>
      </c>
      <c r="K134" s="21">
        <v>24872</v>
      </c>
    </row>
    <row r="135" spans="1:11" x14ac:dyDescent="0.3">
      <c r="A135" t="s">
        <v>2309</v>
      </c>
      <c r="B135">
        <v>134</v>
      </c>
      <c r="C135" t="s">
        <v>1404</v>
      </c>
      <c r="D135">
        <v>55</v>
      </c>
      <c r="E135" s="21">
        <v>83108</v>
      </c>
      <c r="F135" s="21">
        <v>1297586</v>
      </c>
      <c r="G135">
        <v>0.11600000000000001</v>
      </c>
      <c r="H135">
        <v>10</v>
      </c>
      <c r="I135">
        <v>713</v>
      </c>
      <c r="J135">
        <v>13</v>
      </c>
      <c r="K135" s="21">
        <v>20324</v>
      </c>
    </row>
    <row r="136" spans="1:11" x14ac:dyDescent="0.3">
      <c r="A136" t="s">
        <v>2309</v>
      </c>
      <c r="B136">
        <v>135</v>
      </c>
      <c r="C136" t="s">
        <v>1405</v>
      </c>
      <c r="D136">
        <v>27</v>
      </c>
      <c r="E136" s="21">
        <v>98772</v>
      </c>
      <c r="F136" s="21">
        <v>1756656</v>
      </c>
      <c r="G136">
        <v>8.5999999999999993E-2</v>
      </c>
      <c r="H136">
        <v>20</v>
      </c>
      <c r="I136">
        <v>737</v>
      </c>
      <c r="J136">
        <v>8</v>
      </c>
      <c r="K136" s="21">
        <v>34863</v>
      </c>
    </row>
    <row r="137" spans="1:11" x14ac:dyDescent="0.3">
      <c r="A137" t="s">
        <v>2309</v>
      </c>
      <c r="B137">
        <v>136</v>
      </c>
      <c r="C137" t="s">
        <v>1406</v>
      </c>
      <c r="D137">
        <v>39</v>
      </c>
      <c r="E137" s="21">
        <v>20071</v>
      </c>
      <c r="F137" s="21">
        <v>896232</v>
      </c>
      <c r="G137">
        <v>0.11</v>
      </c>
      <c r="H137">
        <v>10</v>
      </c>
      <c r="I137">
        <v>661</v>
      </c>
      <c r="J137">
        <v>12</v>
      </c>
      <c r="K137" s="21">
        <v>7</v>
      </c>
    </row>
    <row r="138" spans="1:11" x14ac:dyDescent="0.3">
      <c r="A138" t="s">
        <v>2309</v>
      </c>
      <c r="B138">
        <v>137</v>
      </c>
      <c r="C138" t="s">
        <v>1407</v>
      </c>
      <c r="D138">
        <v>42</v>
      </c>
      <c r="E138" s="21">
        <v>82993</v>
      </c>
      <c r="F138" s="21">
        <v>1067689</v>
      </c>
      <c r="G138">
        <v>9.6000000000000002E-2</v>
      </c>
      <c r="H138">
        <v>10</v>
      </c>
      <c r="I138">
        <v>652</v>
      </c>
      <c r="J138">
        <v>14</v>
      </c>
      <c r="K138" s="21">
        <v>11528</v>
      </c>
    </row>
    <row r="139" spans="1:11" x14ac:dyDescent="0.3">
      <c r="A139" t="s">
        <v>2309</v>
      </c>
      <c r="B139">
        <v>138</v>
      </c>
      <c r="C139" t="s">
        <v>1408</v>
      </c>
      <c r="D139">
        <v>56</v>
      </c>
      <c r="E139" s="21">
        <v>47930</v>
      </c>
      <c r="F139" s="21">
        <v>1771467</v>
      </c>
      <c r="G139">
        <v>0.09</v>
      </c>
      <c r="H139">
        <v>25</v>
      </c>
      <c r="I139">
        <v>825</v>
      </c>
      <c r="J139">
        <v>8</v>
      </c>
      <c r="K139" s="21">
        <v>41944</v>
      </c>
    </row>
    <row r="140" spans="1:11" x14ac:dyDescent="0.3">
      <c r="A140" t="s">
        <v>2309</v>
      </c>
      <c r="B140">
        <v>139</v>
      </c>
      <c r="C140" t="s">
        <v>1409</v>
      </c>
      <c r="D140">
        <v>26</v>
      </c>
      <c r="E140" s="21">
        <v>42978</v>
      </c>
      <c r="F140" s="21">
        <v>862030</v>
      </c>
      <c r="G140">
        <v>8.3000000000000004E-2</v>
      </c>
      <c r="H140">
        <v>15</v>
      </c>
      <c r="I140">
        <v>659</v>
      </c>
      <c r="J140">
        <v>9</v>
      </c>
      <c r="K140" s="21">
        <v>303</v>
      </c>
    </row>
    <row r="141" spans="1:11" x14ac:dyDescent="0.3">
      <c r="A141" t="s">
        <v>2309</v>
      </c>
      <c r="B141">
        <v>140</v>
      </c>
      <c r="C141" t="s">
        <v>1410</v>
      </c>
      <c r="D141">
        <v>21</v>
      </c>
      <c r="E141" s="21">
        <v>107104</v>
      </c>
      <c r="F141" s="21">
        <v>2178152</v>
      </c>
      <c r="G141">
        <v>8.3000000000000004E-2</v>
      </c>
      <c r="H141">
        <v>10</v>
      </c>
      <c r="I141">
        <v>696</v>
      </c>
      <c r="J141">
        <v>1</v>
      </c>
      <c r="K141" s="21">
        <v>42390</v>
      </c>
    </row>
    <row r="142" spans="1:11" x14ac:dyDescent="0.3">
      <c r="A142" t="s">
        <v>2309</v>
      </c>
      <c r="B142">
        <v>141</v>
      </c>
      <c r="C142" t="s">
        <v>1411</v>
      </c>
      <c r="D142">
        <v>53</v>
      </c>
      <c r="E142" s="21">
        <v>54074</v>
      </c>
      <c r="F142" s="21">
        <v>2453596</v>
      </c>
      <c r="G142">
        <v>0.108</v>
      </c>
      <c r="H142">
        <v>10</v>
      </c>
      <c r="I142">
        <v>718</v>
      </c>
      <c r="J142">
        <v>2</v>
      </c>
      <c r="K142" s="21">
        <v>12798</v>
      </c>
    </row>
    <row r="143" spans="1:11" x14ac:dyDescent="0.3">
      <c r="A143" t="s">
        <v>2309</v>
      </c>
      <c r="B143">
        <v>142</v>
      </c>
      <c r="C143" t="s">
        <v>1412</v>
      </c>
      <c r="D143">
        <v>44</v>
      </c>
      <c r="E143" s="21">
        <v>85141</v>
      </c>
      <c r="F143" s="21">
        <v>1190375</v>
      </c>
      <c r="G143">
        <v>0.105</v>
      </c>
      <c r="H143">
        <v>30</v>
      </c>
      <c r="I143">
        <v>839</v>
      </c>
      <c r="J143">
        <v>1</v>
      </c>
      <c r="K143" s="21">
        <v>3267</v>
      </c>
    </row>
    <row r="144" spans="1:11" x14ac:dyDescent="0.3">
      <c r="A144" t="s">
        <v>2309</v>
      </c>
      <c r="B144">
        <v>143</v>
      </c>
      <c r="C144" t="s">
        <v>1413</v>
      </c>
      <c r="D144">
        <v>48</v>
      </c>
      <c r="E144" s="21">
        <v>99875</v>
      </c>
      <c r="F144" s="21">
        <v>2390383</v>
      </c>
      <c r="G144">
        <v>9.8000000000000004E-2</v>
      </c>
      <c r="H144">
        <v>25</v>
      </c>
      <c r="I144">
        <v>612</v>
      </c>
      <c r="J144">
        <v>9</v>
      </c>
      <c r="K144" s="21">
        <v>24149</v>
      </c>
    </row>
    <row r="145" spans="1:11" x14ac:dyDescent="0.3">
      <c r="A145" t="s">
        <v>2309</v>
      </c>
      <c r="B145">
        <v>144</v>
      </c>
      <c r="C145" t="s">
        <v>1414</v>
      </c>
      <c r="D145">
        <v>22</v>
      </c>
      <c r="E145" s="21">
        <v>78646</v>
      </c>
      <c r="F145" s="21">
        <v>1214276</v>
      </c>
      <c r="G145">
        <v>9.2999999999999999E-2</v>
      </c>
      <c r="H145">
        <v>25</v>
      </c>
      <c r="I145">
        <v>644</v>
      </c>
      <c r="J145">
        <v>6</v>
      </c>
      <c r="K145" s="21">
        <v>18775</v>
      </c>
    </row>
    <row r="146" spans="1:11" x14ac:dyDescent="0.3">
      <c r="A146" t="s">
        <v>2309</v>
      </c>
      <c r="B146">
        <v>145</v>
      </c>
      <c r="C146" t="s">
        <v>1415</v>
      </c>
      <c r="D146">
        <v>21</v>
      </c>
      <c r="E146" s="21">
        <v>22086</v>
      </c>
      <c r="F146" s="21">
        <v>947456</v>
      </c>
      <c r="G146">
        <v>0.10100000000000001</v>
      </c>
      <c r="H146">
        <v>10</v>
      </c>
      <c r="I146">
        <v>822</v>
      </c>
      <c r="J146">
        <v>3</v>
      </c>
      <c r="K146" s="21">
        <v>36850</v>
      </c>
    </row>
    <row r="147" spans="1:11" x14ac:dyDescent="0.3">
      <c r="A147" t="s">
        <v>2309</v>
      </c>
      <c r="B147">
        <v>146</v>
      </c>
      <c r="C147" t="s">
        <v>1416</v>
      </c>
      <c r="D147">
        <v>61</v>
      </c>
      <c r="E147" s="21">
        <v>108922</v>
      </c>
      <c r="F147" s="21">
        <v>1508067</v>
      </c>
      <c r="G147">
        <v>0.10199999999999999</v>
      </c>
      <c r="H147">
        <v>15</v>
      </c>
      <c r="I147">
        <v>689</v>
      </c>
      <c r="J147">
        <v>10</v>
      </c>
      <c r="K147" s="21">
        <v>29901</v>
      </c>
    </row>
    <row r="148" spans="1:11" x14ac:dyDescent="0.3">
      <c r="A148" t="s">
        <v>2309</v>
      </c>
      <c r="B148">
        <v>147</v>
      </c>
      <c r="C148" t="s">
        <v>1417</v>
      </c>
      <c r="D148">
        <v>55</v>
      </c>
      <c r="E148" s="21">
        <v>105397</v>
      </c>
      <c r="F148" s="21">
        <v>1728769</v>
      </c>
      <c r="G148">
        <v>0.108</v>
      </c>
      <c r="H148">
        <v>15</v>
      </c>
      <c r="I148">
        <v>759</v>
      </c>
      <c r="J148">
        <v>1</v>
      </c>
      <c r="K148" s="21">
        <v>29438</v>
      </c>
    </row>
    <row r="149" spans="1:11" x14ac:dyDescent="0.3">
      <c r="A149" t="s">
        <v>2309</v>
      </c>
      <c r="B149">
        <v>148</v>
      </c>
      <c r="C149" t="s">
        <v>1418</v>
      </c>
      <c r="D149">
        <v>28</v>
      </c>
      <c r="E149" s="21">
        <v>28543</v>
      </c>
      <c r="F149" s="21">
        <v>1534254</v>
      </c>
      <c r="G149">
        <v>8.5999999999999993E-2</v>
      </c>
      <c r="H149">
        <v>20</v>
      </c>
      <c r="I149">
        <v>661</v>
      </c>
      <c r="J149">
        <v>7</v>
      </c>
      <c r="K149" s="21">
        <v>37173</v>
      </c>
    </row>
    <row r="150" spans="1:11" x14ac:dyDescent="0.3">
      <c r="A150" t="s">
        <v>2309</v>
      </c>
      <c r="B150">
        <v>149</v>
      </c>
      <c r="C150" t="s">
        <v>1419</v>
      </c>
      <c r="D150">
        <v>25</v>
      </c>
      <c r="E150" s="21">
        <v>49309</v>
      </c>
      <c r="F150" s="21">
        <v>2237806</v>
      </c>
      <c r="G150">
        <v>9.8000000000000004E-2</v>
      </c>
      <c r="H150">
        <v>25</v>
      </c>
      <c r="I150">
        <v>658</v>
      </c>
      <c r="J150">
        <v>6</v>
      </c>
      <c r="K150" s="21">
        <v>71</v>
      </c>
    </row>
    <row r="151" spans="1:11" x14ac:dyDescent="0.3">
      <c r="A151" t="s">
        <v>2309</v>
      </c>
      <c r="B151">
        <v>150</v>
      </c>
      <c r="C151" t="s">
        <v>1420</v>
      </c>
      <c r="D151">
        <v>60</v>
      </c>
      <c r="E151" s="21">
        <v>66183</v>
      </c>
      <c r="F151" s="21">
        <v>2251253</v>
      </c>
      <c r="G151">
        <v>9.8000000000000004E-2</v>
      </c>
      <c r="H151">
        <v>30</v>
      </c>
      <c r="I151">
        <v>734</v>
      </c>
      <c r="J151">
        <v>14</v>
      </c>
      <c r="K151" s="21">
        <v>6261</v>
      </c>
    </row>
    <row r="152" spans="1:11" x14ac:dyDescent="0.3">
      <c r="A152" t="s">
        <v>2309</v>
      </c>
      <c r="B152">
        <v>151</v>
      </c>
      <c r="C152" t="s">
        <v>1421</v>
      </c>
      <c r="D152">
        <v>34</v>
      </c>
      <c r="E152" s="21">
        <v>41040</v>
      </c>
      <c r="F152" s="21">
        <v>2311648</v>
      </c>
      <c r="G152">
        <v>0.09</v>
      </c>
      <c r="H152">
        <v>30</v>
      </c>
      <c r="I152">
        <v>781</v>
      </c>
      <c r="J152">
        <v>12</v>
      </c>
      <c r="K152" s="21">
        <v>19527</v>
      </c>
    </row>
    <row r="153" spans="1:11" x14ac:dyDescent="0.3">
      <c r="A153" t="s">
        <v>2309</v>
      </c>
      <c r="B153">
        <v>152</v>
      </c>
      <c r="C153" t="s">
        <v>1422</v>
      </c>
      <c r="D153">
        <v>57</v>
      </c>
      <c r="E153" s="21">
        <v>67658</v>
      </c>
      <c r="F153" s="21">
        <v>1114414</v>
      </c>
      <c r="G153">
        <v>0.108</v>
      </c>
      <c r="H153">
        <v>30</v>
      </c>
      <c r="I153">
        <v>733</v>
      </c>
      <c r="J153">
        <v>8</v>
      </c>
      <c r="K153" s="21">
        <v>11256</v>
      </c>
    </row>
    <row r="154" spans="1:11" x14ac:dyDescent="0.3">
      <c r="A154" t="s">
        <v>2309</v>
      </c>
      <c r="B154">
        <v>153</v>
      </c>
      <c r="C154" t="s">
        <v>1423</v>
      </c>
      <c r="D154">
        <v>60</v>
      </c>
      <c r="E154" s="21">
        <v>67384</v>
      </c>
      <c r="F154" s="21">
        <v>1626078</v>
      </c>
      <c r="G154">
        <v>9.7000000000000003E-2</v>
      </c>
      <c r="H154">
        <v>20</v>
      </c>
      <c r="I154">
        <v>779</v>
      </c>
      <c r="J154">
        <v>8</v>
      </c>
      <c r="K154" s="21">
        <v>379</v>
      </c>
    </row>
    <row r="155" spans="1:11" x14ac:dyDescent="0.3">
      <c r="A155" t="s">
        <v>2309</v>
      </c>
      <c r="B155">
        <v>154</v>
      </c>
      <c r="C155" t="s">
        <v>1424</v>
      </c>
      <c r="D155">
        <v>43</v>
      </c>
      <c r="E155" s="21">
        <v>20227</v>
      </c>
      <c r="F155" s="21">
        <v>920891</v>
      </c>
      <c r="G155">
        <v>8.3000000000000004E-2</v>
      </c>
      <c r="H155">
        <v>15</v>
      </c>
      <c r="I155">
        <v>647</v>
      </c>
      <c r="J155">
        <v>13</v>
      </c>
      <c r="K155" s="21">
        <v>40724</v>
      </c>
    </row>
    <row r="156" spans="1:11" x14ac:dyDescent="0.3">
      <c r="A156" t="s">
        <v>2309</v>
      </c>
      <c r="B156">
        <v>155</v>
      </c>
      <c r="C156" t="s">
        <v>1425</v>
      </c>
      <c r="D156">
        <v>24</v>
      </c>
      <c r="E156" s="21">
        <v>53852</v>
      </c>
      <c r="F156" s="21">
        <v>2340445</v>
      </c>
      <c r="G156">
        <v>9.1999999999999998E-2</v>
      </c>
      <c r="H156">
        <v>20</v>
      </c>
      <c r="I156">
        <v>844</v>
      </c>
      <c r="J156">
        <v>4</v>
      </c>
      <c r="K156" s="21">
        <v>31286</v>
      </c>
    </row>
    <row r="157" spans="1:11" x14ac:dyDescent="0.3">
      <c r="A157" t="s">
        <v>2309</v>
      </c>
      <c r="B157">
        <v>156</v>
      </c>
      <c r="C157" t="s">
        <v>1426</v>
      </c>
      <c r="D157">
        <v>44</v>
      </c>
      <c r="E157" s="21">
        <v>63869</v>
      </c>
      <c r="F157" s="21">
        <v>883994</v>
      </c>
      <c r="G157">
        <v>0.113</v>
      </c>
      <c r="H157">
        <v>15</v>
      </c>
      <c r="I157">
        <v>692</v>
      </c>
      <c r="J157">
        <v>15</v>
      </c>
      <c r="K157" s="21">
        <v>37401</v>
      </c>
    </row>
    <row r="158" spans="1:11" x14ac:dyDescent="0.3">
      <c r="A158" t="s">
        <v>2309</v>
      </c>
      <c r="B158">
        <v>157</v>
      </c>
      <c r="C158" t="s">
        <v>1427</v>
      </c>
      <c r="D158">
        <v>46</v>
      </c>
      <c r="E158" s="21">
        <v>70406</v>
      </c>
      <c r="F158" s="21">
        <v>1961890</v>
      </c>
      <c r="G158">
        <v>9.2999999999999999E-2</v>
      </c>
      <c r="H158">
        <v>10</v>
      </c>
      <c r="I158">
        <v>734</v>
      </c>
      <c r="J158">
        <v>9</v>
      </c>
      <c r="K158" s="21">
        <v>22838</v>
      </c>
    </row>
    <row r="159" spans="1:11" x14ac:dyDescent="0.3">
      <c r="A159" t="s">
        <v>2309</v>
      </c>
      <c r="B159">
        <v>158</v>
      </c>
      <c r="C159" t="s">
        <v>1428</v>
      </c>
      <c r="D159">
        <v>43</v>
      </c>
      <c r="E159" s="21">
        <v>49239</v>
      </c>
      <c r="F159" s="21">
        <v>2090679</v>
      </c>
      <c r="G159">
        <v>9.1999999999999998E-2</v>
      </c>
      <c r="H159">
        <v>10</v>
      </c>
      <c r="I159">
        <v>714</v>
      </c>
      <c r="J159">
        <v>2</v>
      </c>
      <c r="K159" s="21">
        <v>24349</v>
      </c>
    </row>
    <row r="160" spans="1:11" x14ac:dyDescent="0.3">
      <c r="A160" t="s">
        <v>2309</v>
      </c>
      <c r="B160">
        <v>159</v>
      </c>
      <c r="C160" t="s">
        <v>1429</v>
      </c>
      <c r="D160">
        <v>56</v>
      </c>
      <c r="E160" s="21">
        <v>93992</v>
      </c>
      <c r="F160" s="21">
        <v>1969235</v>
      </c>
      <c r="G160">
        <v>8.7999999999999995E-2</v>
      </c>
      <c r="H160">
        <v>30</v>
      </c>
      <c r="I160">
        <v>625</v>
      </c>
      <c r="J160">
        <v>9</v>
      </c>
      <c r="K160" s="21">
        <v>29031</v>
      </c>
    </row>
    <row r="161" spans="1:11" x14ac:dyDescent="0.3">
      <c r="A161" t="s">
        <v>2309</v>
      </c>
      <c r="B161">
        <v>160</v>
      </c>
      <c r="C161" t="s">
        <v>1430</v>
      </c>
      <c r="D161">
        <v>40</v>
      </c>
      <c r="E161" s="21">
        <v>74884</v>
      </c>
      <c r="F161" s="21">
        <v>1770711</v>
      </c>
      <c r="G161">
        <v>0.11</v>
      </c>
      <c r="H161">
        <v>25</v>
      </c>
      <c r="I161">
        <v>702</v>
      </c>
      <c r="J161">
        <v>8</v>
      </c>
      <c r="K161" s="21">
        <v>20267</v>
      </c>
    </row>
    <row r="162" spans="1:11" x14ac:dyDescent="0.3">
      <c r="A162" t="s">
        <v>2309</v>
      </c>
      <c r="B162">
        <v>161</v>
      </c>
      <c r="C162" t="s">
        <v>1431</v>
      </c>
      <c r="D162">
        <v>49</v>
      </c>
      <c r="E162" s="21">
        <v>92698</v>
      </c>
      <c r="F162" s="21">
        <v>1149128</v>
      </c>
      <c r="G162">
        <v>8.4000000000000005E-2</v>
      </c>
      <c r="H162">
        <v>30</v>
      </c>
      <c r="I162">
        <v>666</v>
      </c>
      <c r="J162">
        <v>10</v>
      </c>
      <c r="K162" s="21">
        <v>16097</v>
      </c>
    </row>
    <row r="163" spans="1:11" x14ac:dyDescent="0.3">
      <c r="A163" t="s">
        <v>2309</v>
      </c>
      <c r="B163">
        <v>162</v>
      </c>
      <c r="C163" t="s">
        <v>1432</v>
      </c>
      <c r="D163">
        <v>24</v>
      </c>
      <c r="E163" s="21">
        <v>51535</v>
      </c>
      <c r="F163" s="21">
        <v>784390</v>
      </c>
      <c r="G163">
        <v>0.109</v>
      </c>
      <c r="H163">
        <v>20</v>
      </c>
      <c r="I163">
        <v>728</v>
      </c>
      <c r="J163">
        <v>6</v>
      </c>
      <c r="K163" s="21">
        <v>43273</v>
      </c>
    </row>
    <row r="164" spans="1:11" x14ac:dyDescent="0.3">
      <c r="A164" t="s">
        <v>2309</v>
      </c>
      <c r="B164">
        <v>163</v>
      </c>
      <c r="C164" t="s">
        <v>1433</v>
      </c>
      <c r="D164">
        <v>50</v>
      </c>
      <c r="E164" s="21">
        <v>114217</v>
      </c>
      <c r="F164" s="21">
        <v>911189</v>
      </c>
      <c r="G164">
        <v>8.4000000000000005E-2</v>
      </c>
      <c r="H164">
        <v>10</v>
      </c>
      <c r="I164">
        <v>671</v>
      </c>
      <c r="J164">
        <v>9</v>
      </c>
      <c r="K164" s="21">
        <v>1210</v>
      </c>
    </row>
    <row r="165" spans="1:11" x14ac:dyDescent="0.3">
      <c r="A165" t="s">
        <v>2309</v>
      </c>
      <c r="B165">
        <v>164</v>
      </c>
      <c r="C165" t="s">
        <v>1434</v>
      </c>
      <c r="D165">
        <v>33</v>
      </c>
      <c r="E165" s="21">
        <v>102450</v>
      </c>
      <c r="F165" s="21">
        <v>1561656</v>
      </c>
      <c r="G165">
        <v>9.7000000000000003E-2</v>
      </c>
      <c r="H165">
        <v>20</v>
      </c>
      <c r="I165">
        <v>764</v>
      </c>
      <c r="J165">
        <v>6</v>
      </c>
      <c r="K165" s="21">
        <v>31896</v>
      </c>
    </row>
    <row r="166" spans="1:11" x14ac:dyDescent="0.3">
      <c r="A166" t="s">
        <v>2309</v>
      </c>
      <c r="B166">
        <v>165</v>
      </c>
      <c r="C166" t="s">
        <v>1435</v>
      </c>
      <c r="D166">
        <v>28</v>
      </c>
      <c r="E166" s="21">
        <v>70535</v>
      </c>
      <c r="F166" s="21">
        <v>1267767</v>
      </c>
      <c r="G166">
        <v>0.113</v>
      </c>
      <c r="H166">
        <v>20</v>
      </c>
      <c r="I166">
        <v>604</v>
      </c>
      <c r="J166">
        <v>14</v>
      </c>
      <c r="K166" s="21">
        <v>40283</v>
      </c>
    </row>
    <row r="167" spans="1:11" x14ac:dyDescent="0.3">
      <c r="A167" t="s">
        <v>2309</v>
      </c>
      <c r="B167">
        <v>166</v>
      </c>
      <c r="C167" t="s">
        <v>1436</v>
      </c>
      <c r="D167">
        <v>30</v>
      </c>
      <c r="E167" s="21">
        <v>109917</v>
      </c>
      <c r="F167" s="21">
        <v>1885732</v>
      </c>
      <c r="G167">
        <v>0.10199999999999999</v>
      </c>
      <c r="H167">
        <v>25</v>
      </c>
      <c r="I167">
        <v>608</v>
      </c>
      <c r="J167">
        <v>3</v>
      </c>
      <c r="K167" s="21">
        <v>15762</v>
      </c>
    </row>
    <row r="168" spans="1:11" x14ac:dyDescent="0.3">
      <c r="A168" t="s">
        <v>2309</v>
      </c>
      <c r="B168">
        <v>167</v>
      </c>
      <c r="C168" t="s">
        <v>1437</v>
      </c>
      <c r="D168">
        <v>40</v>
      </c>
      <c r="E168" s="21">
        <v>102239</v>
      </c>
      <c r="F168" s="21">
        <v>950237</v>
      </c>
      <c r="G168">
        <v>0.11700000000000001</v>
      </c>
      <c r="H168">
        <v>20</v>
      </c>
      <c r="I168">
        <v>749</v>
      </c>
      <c r="J168">
        <v>0</v>
      </c>
      <c r="K168" s="21">
        <v>42838</v>
      </c>
    </row>
    <row r="169" spans="1:11" x14ac:dyDescent="0.3">
      <c r="A169" t="s">
        <v>2309</v>
      </c>
      <c r="B169">
        <v>168</v>
      </c>
      <c r="C169" t="s">
        <v>1438</v>
      </c>
      <c r="D169">
        <v>65</v>
      </c>
      <c r="E169" s="21">
        <v>79264</v>
      </c>
      <c r="F169" s="21">
        <v>1814693</v>
      </c>
      <c r="G169">
        <v>0.10199999999999999</v>
      </c>
      <c r="H169">
        <v>25</v>
      </c>
      <c r="I169">
        <v>659</v>
      </c>
      <c r="J169">
        <v>0</v>
      </c>
      <c r="K169" s="21">
        <v>13597</v>
      </c>
    </row>
    <row r="170" spans="1:11" x14ac:dyDescent="0.3">
      <c r="A170" t="s">
        <v>2309</v>
      </c>
      <c r="B170">
        <v>169</v>
      </c>
      <c r="C170" t="s">
        <v>1439</v>
      </c>
      <c r="D170">
        <v>38</v>
      </c>
      <c r="E170" s="21">
        <v>106153</v>
      </c>
      <c r="F170" s="21">
        <v>2111484</v>
      </c>
      <c r="G170">
        <v>9.4E-2</v>
      </c>
      <c r="H170">
        <v>20</v>
      </c>
      <c r="I170">
        <v>754</v>
      </c>
      <c r="J170">
        <v>11</v>
      </c>
      <c r="K170" s="21">
        <v>7823</v>
      </c>
    </row>
    <row r="171" spans="1:11" x14ac:dyDescent="0.3">
      <c r="A171" t="s">
        <v>2309</v>
      </c>
      <c r="B171">
        <v>170</v>
      </c>
      <c r="C171" t="s">
        <v>1440</v>
      </c>
      <c r="D171">
        <v>60</v>
      </c>
      <c r="E171" s="21">
        <v>96262</v>
      </c>
      <c r="F171" s="21">
        <v>1473655</v>
      </c>
      <c r="G171">
        <v>0.10100000000000001</v>
      </c>
      <c r="H171">
        <v>15</v>
      </c>
      <c r="I171">
        <v>792</v>
      </c>
      <c r="J171">
        <v>5</v>
      </c>
      <c r="K171" s="21">
        <v>8271</v>
      </c>
    </row>
    <row r="172" spans="1:11" x14ac:dyDescent="0.3">
      <c r="A172" t="s">
        <v>2309</v>
      </c>
      <c r="B172">
        <v>171</v>
      </c>
      <c r="C172" t="s">
        <v>1441</v>
      </c>
      <c r="D172">
        <v>49</v>
      </c>
      <c r="E172" s="21">
        <v>68071</v>
      </c>
      <c r="F172" s="21">
        <v>1172106</v>
      </c>
      <c r="G172">
        <v>8.5999999999999993E-2</v>
      </c>
      <c r="H172">
        <v>10</v>
      </c>
      <c r="I172">
        <v>719</v>
      </c>
      <c r="J172">
        <v>2</v>
      </c>
      <c r="K172" s="21">
        <v>31533</v>
      </c>
    </row>
    <row r="173" spans="1:11" x14ac:dyDescent="0.3">
      <c r="A173" t="s">
        <v>2309</v>
      </c>
      <c r="B173">
        <v>172</v>
      </c>
      <c r="C173" t="s">
        <v>1442</v>
      </c>
      <c r="D173">
        <v>49</v>
      </c>
      <c r="E173" s="21">
        <v>77104</v>
      </c>
      <c r="F173" s="21">
        <v>868446</v>
      </c>
      <c r="G173">
        <v>9.0999999999999998E-2</v>
      </c>
      <c r="H173">
        <v>30</v>
      </c>
      <c r="I173">
        <v>843</v>
      </c>
      <c r="J173">
        <v>13</v>
      </c>
      <c r="K173" s="21">
        <v>35380</v>
      </c>
    </row>
    <row r="174" spans="1:11" x14ac:dyDescent="0.3">
      <c r="A174" t="s">
        <v>2309</v>
      </c>
      <c r="B174">
        <v>173</v>
      </c>
      <c r="C174" t="s">
        <v>1443</v>
      </c>
      <c r="D174">
        <v>38</v>
      </c>
      <c r="E174" s="21">
        <v>22017</v>
      </c>
      <c r="F174" s="21">
        <v>1101292</v>
      </c>
      <c r="G174">
        <v>0.109</v>
      </c>
      <c r="H174">
        <v>10</v>
      </c>
      <c r="I174">
        <v>801</v>
      </c>
      <c r="J174">
        <v>6</v>
      </c>
      <c r="K174" s="21">
        <v>46652</v>
      </c>
    </row>
    <row r="175" spans="1:11" x14ac:dyDescent="0.3">
      <c r="A175" t="s">
        <v>2309</v>
      </c>
      <c r="B175">
        <v>174</v>
      </c>
      <c r="C175" t="s">
        <v>1444</v>
      </c>
      <c r="D175">
        <v>24</v>
      </c>
      <c r="E175" s="21">
        <v>28650</v>
      </c>
      <c r="F175" s="21">
        <v>1947684</v>
      </c>
      <c r="G175">
        <v>8.7999999999999995E-2</v>
      </c>
      <c r="H175">
        <v>20</v>
      </c>
      <c r="I175">
        <v>644</v>
      </c>
      <c r="J175">
        <v>8</v>
      </c>
      <c r="K175" s="21">
        <v>35575</v>
      </c>
    </row>
    <row r="176" spans="1:11" x14ac:dyDescent="0.3">
      <c r="A176" t="s">
        <v>2309</v>
      </c>
      <c r="B176">
        <v>175</v>
      </c>
      <c r="C176" t="s">
        <v>1445</v>
      </c>
      <c r="D176">
        <v>62</v>
      </c>
      <c r="E176" s="21">
        <v>91425</v>
      </c>
      <c r="F176" s="21">
        <v>2260444</v>
      </c>
      <c r="G176">
        <v>9.5000000000000001E-2</v>
      </c>
      <c r="H176">
        <v>25</v>
      </c>
      <c r="I176">
        <v>800</v>
      </c>
      <c r="J176">
        <v>15</v>
      </c>
      <c r="K176" s="21">
        <v>23192</v>
      </c>
    </row>
    <row r="177" spans="1:11" x14ac:dyDescent="0.3">
      <c r="A177" t="s">
        <v>2309</v>
      </c>
      <c r="B177">
        <v>176</v>
      </c>
      <c r="C177" t="s">
        <v>1446</v>
      </c>
      <c r="D177">
        <v>39</v>
      </c>
      <c r="E177" s="21">
        <v>101029</v>
      </c>
      <c r="F177" s="21">
        <v>1455241</v>
      </c>
      <c r="G177">
        <v>9.0999999999999998E-2</v>
      </c>
      <c r="H177">
        <v>30</v>
      </c>
      <c r="I177">
        <v>633</v>
      </c>
      <c r="J177">
        <v>4</v>
      </c>
      <c r="K177" s="21">
        <v>8944</v>
      </c>
    </row>
    <row r="178" spans="1:11" x14ac:dyDescent="0.3">
      <c r="A178" t="s">
        <v>2309</v>
      </c>
      <c r="B178">
        <v>177</v>
      </c>
      <c r="C178" t="s">
        <v>1447</v>
      </c>
      <c r="D178">
        <v>63</v>
      </c>
      <c r="E178" s="21">
        <v>104676</v>
      </c>
      <c r="F178" s="21">
        <v>859380</v>
      </c>
      <c r="G178">
        <v>0.10199999999999999</v>
      </c>
      <c r="H178">
        <v>30</v>
      </c>
      <c r="I178">
        <v>847</v>
      </c>
      <c r="J178">
        <v>9</v>
      </c>
      <c r="K178" s="21">
        <v>32997</v>
      </c>
    </row>
    <row r="179" spans="1:11" x14ac:dyDescent="0.3">
      <c r="A179" t="s">
        <v>2309</v>
      </c>
      <c r="B179">
        <v>178</v>
      </c>
      <c r="C179" t="s">
        <v>1448</v>
      </c>
      <c r="D179">
        <v>36</v>
      </c>
      <c r="E179" s="21">
        <v>71336</v>
      </c>
      <c r="F179" s="21">
        <v>1871498</v>
      </c>
      <c r="G179">
        <v>0.114</v>
      </c>
      <c r="H179">
        <v>30</v>
      </c>
      <c r="I179">
        <v>602</v>
      </c>
      <c r="J179">
        <v>1</v>
      </c>
      <c r="K179" s="21">
        <v>28057</v>
      </c>
    </row>
    <row r="180" spans="1:11" x14ac:dyDescent="0.3">
      <c r="A180" t="s">
        <v>2309</v>
      </c>
      <c r="B180">
        <v>179</v>
      </c>
      <c r="C180" t="s">
        <v>1449</v>
      </c>
      <c r="D180">
        <v>57</v>
      </c>
      <c r="E180" s="21">
        <v>106532</v>
      </c>
      <c r="F180" s="21">
        <v>509045</v>
      </c>
      <c r="G180">
        <v>0.10100000000000001</v>
      </c>
      <c r="H180">
        <v>30</v>
      </c>
      <c r="I180">
        <v>704</v>
      </c>
      <c r="J180">
        <v>1</v>
      </c>
      <c r="K180" s="21">
        <v>31985</v>
      </c>
    </row>
    <row r="181" spans="1:11" x14ac:dyDescent="0.3">
      <c r="A181" t="s">
        <v>2309</v>
      </c>
      <c r="B181">
        <v>180</v>
      </c>
      <c r="C181" t="s">
        <v>1450</v>
      </c>
      <c r="D181">
        <v>41</v>
      </c>
      <c r="E181" s="21">
        <v>27675</v>
      </c>
      <c r="F181" s="21">
        <v>2091491</v>
      </c>
      <c r="G181">
        <v>0.11700000000000001</v>
      </c>
      <c r="H181">
        <v>20</v>
      </c>
      <c r="I181">
        <v>671</v>
      </c>
      <c r="J181">
        <v>6</v>
      </c>
      <c r="K181" s="21">
        <v>42145</v>
      </c>
    </row>
    <row r="182" spans="1:11" x14ac:dyDescent="0.3">
      <c r="A182" t="s">
        <v>2309</v>
      </c>
      <c r="B182">
        <v>181</v>
      </c>
      <c r="C182" t="s">
        <v>1451</v>
      </c>
      <c r="D182">
        <v>64</v>
      </c>
      <c r="E182" s="21">
        <v>111610</v>
      </c>
      <c r="F182" s="21">
        <v>2484205</v>
      </c>
      <c r="G182">
        <v>0.08</v>
      </c>
      <c r="H182">
        <v>25</v>
      </c>
      <c r="I182">
        <v>845</v>
      </c>
      <c r="J182">
        <v>8</v>
      </c>
      <c r="K182" s="21">
        <v>30348</v>
      </c>
    </row>
    <row r="183" spans="1:11" x14ac:dyDescent="0.3">
      <c r="A183" t="s">
        <v>2309</v>
      </c>
      <c r="B183">
        <v>182</v>
      </c>
      <c r="C183" t="s">
        <v>1452</v>
      </c>
      <c r="D183">
        <v>25</v>
      </c>
      <c r="E183" s="21">
        <v>108171</v>
      </c>
      <c r="F183" s="21">
        <v>1531916</v>
      </c>
      <c r="G183">
        <v>0.113</v>
      </c>
      <c r="H183">
        <v>15</v>
      </c>
      <c r="I183">
        <v>817</v>
      </c>
      <c r="J183">
        <v>5</v>
      </c>
      <c r="K183" s="21">
        <v>44055</v>
      </c>
    </row>
    <row r="184" spans="1:11" x14ac:dyDescent="0.3">
      <c r="A184" t="s">
        <v>2309</v>
      </c>
      <c r="B184">
        <v>183</v>
      </c>
      <c r="C184" t="s">
        <v>1453</v>
      </c>
      <c r="D184">
        <v>22</v>
      </c>
      <c r="E184" s="21">
        <v>95901</v>
      </c>
      <c r="F184" s="21">
        <v>775624</v>
      </c>
      <c r="G184">
        <v>0.113</v>
      </c>
      <c r="H184">
        <v>25</v>
      </c>
      <c r="I184">
        <v>776</v>
      </c>
      <c r="J184">
        <v>11</v>
      </c>
      <c r="K184" s="21">
        <v>47713</v>
      </c>
    </row>
    <row r="185" spans="1:11" x14ac:dyDescent="0.3">
      <c r="A185" t="s">
        <v>2309</v>
      </c>
      <c r="B185">
        <v>184</v>
      </c>
      <c r="C185" t="s">
        <v>1454</v>
      </c>
      <c r="D185">
        <v>61</v>
      </c>
      <c r="E185" s="21">
        <v>112654</v>
      </c>
      <c r="F185" s="21">
        <v>1009201</v>
      </c>
      <c r="G185">
        <v>9.9000000000000005E-2</v>
      </c>
      <c r="H185">
        <v>10</v>
      </c>
      <c r="I185">
        <v>719</v>
      </c>
      <c r="J185">
        <v>15</v>
      </c>
      <c r="K185" s="21">
        <v>38355</v>
      </c>
    </row>
    <row r="186" spans="1:11" x14ac:dyDescent="0.3">
      <c r="A186" t="s">
        <v>2309</v>
      </c>
      <c r="B186">
        <v>185</v>
      </c>
      <c r="C186" t="s">
        <v>1455</v>
      </c>
      <c r="D186">
        <v>55</v>
      </c>
      <c r="E186" s="21">
        <v>41790</v>
      </c>
      <c r="F186" s="21">
        <v>1921449</v>
      </c>
      <c r="G186">
        <v>0.112</v>
      </c>
      <c r="H186">
        <v>25</v>
      </c>
      <c r="I186">
        <v>759</v>
      </c>
      <c r="J186">
        <v>14</v>
      </c>
      <c r="K186" s="21">
        <v>4899</v>
      </c>
    </row>
    <row r="187" spans="1:11" x14ac:dyDescent="0.3">
      <c r="A187" t="s">
        <v>2309</v>
      </c>
      <c r="B187">
        <v>186</v>
      </c>
      <c r="C187" t="s">
        <v>1456</v>
      </c>
      <c r="D187">
        <v>63</v>
      </c>
      <c r="E187" s="21">
        <v>96955</v>
      </c>
      <c r="F187" s="21">
        <v>2444679</v>
      </c>
      <c r="G187">
        <v>9.7000000000000003E-2</v>
      </c>
      <c r="H187">
        <v>20</v>
      </c>
      <c r="I187">
        <v>824</v>
      </c>
      <c r="J187">
        <v>13</v>
      </c>
      <c r="K187" s="21">
        <v>36032</v>
      </c>
    </row>
    <row r="188" spans="1:11" x14ac:dyDescent="0.3">
      <c r="A188" t="s">
        <v>2309</v>
      </c>
      <c r="B188">
        <v>187</v>
      </c>
      <c r="C188" t="s">
        <v>1457</v>
      </c>
      <c r="D188">
        <v>54</v>
      </c>
      <c r="E188" s="21">
        <v>34143</v>
      </c>
      <c r="F188" s="21">
        <v>1306568</v>
      </c>
      <c r="G188">
        <v>0.1</v>
      </c>
      <c r="H188">
        <v>30</v>
      </c>
      <c r="I188">
        <v>607</v>
      </c>
      <c r="J188">
        <v>5</v>
      </c>
      <c r="K188" s="21">
        <v>31935</v>
      </c>
    </row>
    <row r="189" spans="1:11" x14ac:dyDescent="0.3">
      <c r="A189" t="s">
        <v>2309</v>
      </c>
      <c r="B189">
        <v>188</v>
      </c>
      <c r="C189" t="s">
        <v>1458</v>
      </c>
      <c r="D189">
        <v>43</v>
      </c>
      <c r="E189" s="21">
        <v>37189</v>
      </c>
      <c r="F189" s="21">
        <v>1509192</v>
      </c>
      <c r="G189">
        <v>0.11700000000000001</v>
      </c>
      <c r="H189">
        <v>30</v>
      </c>
      <c r="I189">
        <v>687</v>
      </c>
      <c r="J189">
        <v>2</v>
      </c>
      <c r="K189" s="21">
        <v>8433</v>
      </c>
    </row>
    <row r="190" spans="1:11" x14ac:dyDescent="0.3">
      <c r="A190" t="s">
        <v>2309</v>
      </c>
      <c r="B190">
        <v>189</v>
      </c>
      <c r="C190" t="s">
        <v>1459</v>
      </c>
      <c r="D190">
        <v>65</v>
      </c>
      <c r="E190" s="21">
        <v>46554</v>
      </c>
      <c r="F190" s="21">
        <v>1952181</v>
      </c>
      <c r="G190">
        <v>8.3000000000000004E-2</v>
      </c>
      <c r="H190">
        <v>25</v>
      </c>
      <c r="I190">
        <v>609</v>
      </c>
      <c r="J190">
        <v>15</v>
      </c>
      <c r="K190" s="21">
        <v>13455</v>
      </c>
    </row>
    <row r="191" spans="1:11" x14ac:dyDescent="0.3">
      <c r="A191" t="s">
        <v>2309</v>
      </c>
      <c r="B191">
        <v>190</v>
      </c>
      <c r="C191" t="s">
        <v>1460</v>
      </c>
      <c r="D191">
        <v>46</v>
      </c>
      <c r="E191" s="21">
        <v>38295</v>
      </c>
      <c r="F191" s="21">
        <v>2330994</v>
      </c>
      <c r="G191">
        <v>0.113</v>
      </c>
      <c r="H191">
        <v>25</v>
      </c>
      <c r="I191">
        <v>814</v>
      </c>
      <c r="J191">
        <v>10</v>
      </c>
      <c r="K191" s="21">
        <v>34533</v>
      </c>
    </row>
    <row r="192" spans="1:11" x14ac:dyDescent="0.3">
      <c r="A192" t="s">
        <v>2309</v>
      </c>
      <c r="B192">
        <v>191</v>
      </c>
      <c r="C192" t="s">
        <v>1461</v>
      </c>
      <c r="D192">
        <v>40</v>
      </c>
      <c r="E192" s="21">
        <v>53851</v>
      </c>
      <c r="F192" s="21">
        <v>880594</v>
      </c>
      <c r="G192">
        <v>0.1</v>
      </c>
      <c r="H192">
        <v>10</v>
      </c>
      <c r="I192">
        <v>792</v>
      </c>
      <c r="J192">
        <v>9</v>
      </c>
      <c r="K192" s="21">
        <v>45811</v>
      </c>
    </row>
    <row r="193" spans="1:11" x14ac:dyDescent="0.3">
      <c r="A193" t="s">
        <v>2309</v>
      </c>
      <c r="B193">
        <v>192</v>
      </c>
      <c r="C193" t="s">
        <v>1462</v>
      </c>
      <c r="D193">
        <v>49</v>
      </c>
      <c r="E193" s="21">
        <v>56806</v>
      </c>
      <c r="F193" s="21">
        <v>856125</v>
      </c>
      <c r="G193">
        <v>8.5000000000000006E-2</v>
      </c>
      <c r="H193">
        <v>30</v>
      </c>
      <c r="I193">
        <v>746</v>
      </c>
      <c r="J193">
        <v>14</v>
      </c>
      <c r="K193" s="21">
        <v>4894</v>
      </c>
    </row>
    <row r="194" spans="1:11" x14ac:dyDescent="0.3">
      <c r="A194" t="s">
        <v>2309</v>
      </c>
      <c r="B194">
        <v>193</v>
      </c>
      <c r="C194" t="s">
        <v>1463</v>
      </c>
      <c r="D194">
        <v>55</v>
      </c>
      <c r="E194" s="21">
        <v>108799</v>
      </c>
      <c r="F194" s="21">
        <v>1244785</v>
      </c>
      <c r="G194">
        <v>8.5000000000000006E-2</v>
      </c>
      <c r="H194">
        <v>15</v>
      </c>
      <c r="I194">
        <v>689</v>
      </c>
      <c r="J194">
        <v>14</v>
      </c>
      <c r="K194" s="21">
        <v>7326</v>
      </c>
    </row>
    <row r="195" spans="1:11" x14ac:dyDescent="0.3">
      <c r="A195" t="s">
        <v>2309</v>
      </c>
      <c r="B195">
        <v>194</v>
      </c>
      <c r="C195" t="s">
        <v>1464</v>
      </c>
      <c r="D195">
        <v>60</v>
      </c>
      <c r="E195" s="21">
        <v>36384</v>
      </c>
      <c r="F195" s="21">
        <v>2355711</v>
      </c>
      <c r="G195">
        <v>0.104</v>
      </c>
      <c r="H195">
        <v>10</v>
      </c>
      <c r="I195">
        <v>683</v>
      </c>
      <c r="J195">
        <v>12</v>
      </c>
      <c r="K195" s="21">
        <v>21540</v>
      </c>
    </row>
    <row r="196" spans="1:11" x14ac:dyDescent="0.3">
      <c r="A196" t="s">
        <v>2309</v>
      </c>
      <c r="B196">
        <v>195</v>
      </c>
      <c r="C196" t="s">
        <v>1465</v>
      </c>
      <c r="D196">
        <v>30</v>
      </c>
      <c r="E196" s="21">
        <v>111728</v>
      </c>
      <c r="F196" s="21">
        <v>596046</v>
      </c>
      <c r="G196">
        <v>0.104</v>
      </c>
      <c r="H196">
        <v>20</v>
      </c>
      <c r="I196">
        <v>844</v>
      </c>
      <c r="J196">
        <v>5</v>
      </c>
      <c r="K196" s="21">
        <v>46030</v>
      </c>
    </row>
    <row r="197" spans="1:11" x14ac:dyDescent="0.3">
      <c r="A197" t="s">
        <v>2309</v>
      </c>
      <c r="B197">
        <v>196</v>
      </c>
      <c r="C197" t="s">
        <v>1466</v>
      </c>
      <c r="D197">
        <v>49</v>
      </c>
      <c r="E197" s="21">
        <v>48492</v>
      </c>
      <c r="F197" s="21">
        <v>1499621</v>
      </c>
      <c r="G197">
        <v>0.109</v>
      </c>
      <c r="H197">
        <v>30</v>
      </c>
      <c r="I197">
        <v>821</v>
      </c>
      <c r="J197">
        <v>3</v>
      </c>
      <c r="K197" s="21">
        <v>39878</v>
      </c>
    </row>
    <row r="198" spans="1:11" x14ac:dyDescent="0.3">
      <c r="A198" t="s">
        <v>2309</v>
      </c>
      <c r="B198">
        <v>197</v>
      </c>
      <c r="C198" t="s">
        <v>1467</v>
      </c>
      <c r="D198">
        <v>26</v>
      </c>
      <c r="E198" s="21">
        <v>116451</v>
      </c>
      <c r="F198" s="21">
        <v>526104</v>
      </c>
      <c r="G198">
        <v>8.5999999999999993E-2</v>
      </c>
      <c r="H198">
        <v>30</v>
      </c>
      <c r="I198">
        <v>738</v>
      </c>
      <c r="J198">
        <v>12</v>
      </c>
      <c r="K198" s="21">
        <v>46640</v>
      </c>
    </row>
    <row r="199" spans="1:11" x14ac:dyDescent="0.3">
      <c r="A199" t="s">
        <v>2309</v>
      </c>
      <c r="B199">
        <v>198</v>
      </c>
      <c r="C199" t="s">
        <v>1468</v>
      </c>
      <c r="D199">
        <v>21</v>
      </c>
      <c r="E199" s="21">
        <v>78631</v>
      </c>
      <c r="F199" s="21">
        <v>1276204</v>
      </c>
      <c r="G199">
        <v>0.109</v>
      </c>
      <c r="H199">
        <v>20</v>
      </c>
      <c r="I199">
        <v>601</v>
      </c>
      <c r="J199">
        <v>11</v>
      </c>
      <c r="K199" s="21">
        <v>19566</v>
      </c>
    </row>
    <row r="200" spans="1:11" x14ac:dyDescent="0.3">
      <c r="A200" t="s">
        <v>2309</v>
      </c>
      <c r="B200">
        <v>199</v>
      </c>
      <c r="C200" t="s">
        <v>1469</v>
      </c>
      <c r="D200">
        <v>34</v>
      </c>
      <c r="E200" s="21">
        <v>100350</v>
      </c>
      <c r="F200" s="21">
        <v>2346798</v>
      </c>
      <c r="G200">
        <v>0.1</v>
      </c>
      <c r="H200">
        <v>30</v>
      </c>
      <c r="I200">
        <v>799</v>
      </c>
      <c r="J200">
        <v>11</v>
      </c>
      <c r="K200" s="21">
        <v>11122</v>
      </c>
    </row>
    <row r="201" spans="1:11" x14ac:dyDescent="0.3">
      <c r="A201" t="s">
        <v>2309</v>
      </c>
      <c r="B201">
        <v>200</v>
      </c>
      <c r="C201" t="s">
        <v>1470</v>
      </c>
      <c r="D201">
        <v>52</v>
      </c>
      <c r="E201" s="21">
        <v>83917</v>
      </c>
      <c r="F201" s="21">
        <v>1412095</v>
      </c>
      <c r="G201">
        <v>0.11</v>
      </c>
      <c r="H201">
        <v>30</v>
      </c>
      <c r="I201">
        <v>641</v>
      </c>
      <c r="J201">
        <v>2</v>
      </c>
      <c r="K201" s="21">
        <v>1986</v>
      </c>
    </row>
    <row r="202" spans="1:11" x14ac:dyDescent="0.3">
      <c r="A202" t="s">
        <v>2309</v>
      </c>
      <c r="B202">
        <v>201</v>
      </c>
      <c r="C202" t="s">
        <v>1471</v>
      </c>
      <c r="D202">
        <v>26</v>
      </c>
      <c r="E202" s="21">
        <v>85457</v>
      </c>
      <c r="F202" s="21">
        <v>2123574</v>
      </c>
      <c r="G202">
        <v>8.7999999999999995E-2</v>
      </c>
      <c r="H202">
        <v>20</v>
      </c>
      <c r="I202">
        <v>744</v>
      </c>
      <c r="J202">
        <v>10</v>
      </c>
      <c r="K202" s="21">
        <v>16319</v>
      </c>
    </row>
    <row r="203" spans="1:11" x14ac:dyDescent="0.3">
      <c r="A203" t="s">
        <v>2309</v>
      </c>
      <c r="B203">
        <v>202</v>
      </c>
      <c r="C203" t="s">
        <v>1472</v>
      </c>
      <c r="D203">
        <v>52</v>
      </c>
      <c r="E203" s="21">
        <v>24501</v>
      </c>
      <c r="F203" s="21">
        <v>1686002</v>
      </c>
      <c r="G203">
        <v>0.08</v>
      </c>
      <c r="H203">
        <v>25</v>
      </c>
      <c r="I203">
        <v>676</v>
      </c>
      <c r="J203">
        <v>12</v>
      </c>
      <c r="K203" s="21">
        <v>15488</v>
      </c>
    </row>
    <row r="204" spans="1:11" x14ac:dyDescent="0.3">
      <c r="A204" t="s">
        <v>2309</v>
      </c>
      <c r="B204">
        <v>203</v>
      </c>
      <c r="C204" t="s">
        <v>1473</v>
      </c>
      <c r="D204">
        <v>22</v>
      </c>
      <c r="E204" s="21">
        <v>75847</v>
      </c>
      <c r="F204" s="21">
        <v>1061859</v>
      </c>
      <c r="G204">
        <v>0.109</v>
      </c>
      <c r="H204">
        <v>15</v>
      </c>
      <c r="I204">
        <v>747</v>
      </c>
      <c r="J204">
        <v>2</v>
      </c>
      <c r="K204" s="21">
        <v>8902</v>
      </c>
    </row>
    <row r="205" spans="1:11" x14ac:dyDescent="0.3">
      <c r="A205" t="s">
        <v>2309</v>
      </c>
      <c r="B205">
        <v>204</v>
      </c>
      <c r="C205" t="s">
        <v>1474</v>
      </c>
      <c r="D205">
        <v>28</v>
      </c>
      <c r="E205" s="21">
        <v>101807</v>
      </c>
      <c r="F205" s="21">
        <v>578384</v>
      </c>
      <c r="G205">
        <v>9.2999999999999999E-2</v>
      </c>
      <c r="H205">
        <v>25</v>
      </c>
      <c r="I205">
        <v>658</v>
      </c>
      <c r="J205">
        <v>13</v>
      </c>
      <c r="K205" s="21">
        <v>41167</v>
      </c>
    </row>
    <row r="206" spans="1:11" x14ac:dyDescent="0.3">
      <c r="A206" t="s">
        <v>2309</v>
      </c>
      <c r="B206">
        <v>205</v>
      </c>
      <c r="C206" t="s">
        <v>1475</v>
      </c>
      <c r="D206">
        <v>32</v>
      </c>
      <c r="E206" s="21">
        <v>119120</v>
      </c>
      <c r="F206" s="21">
        <v>2247421</v>
      </c>
      <c r="G206">
        <v>0.109</v>
      </c>
      <c r="H206">
        <v>10</v>
      </c>
      <c r="I206">
        <v>706</v>
      </c>
      <c r="J206">
        <v>15</v>
      </c>
      <c r="K206" s="21">
        <v>8281</v>
      </c>
    </row>
    <row r="207" spans="1:11" x14ac:dyDescent="0.3">
      <c r="A207" t="s">
        <v>2309</v>
      </c>
      <c r="B207">
        <v>206</v>
      </c>
      <c r="C207" t="s">
        <v>1476</v>
      </c>
      <c r="D207">
        <v>47</v>
      </c>
      <c r="E207" s="21">
        <v>80241</v>
      </c>
      <c r="F207" s="21">
        <v>940828</v>
      </c>
      <c r="G207">
        <v>0.11700000000000001</v>
      </c>
      <c r="H207">
        <v>15</v>
      </c>
      <c r="I207">
        <v>776</v>
      </c>
      <c r="J207">
        <v>6</v>
      </c>
      <c r="K207" s="21">
        <v>29522</v>
      </c>
    </row>
    <row r="208" spans="1:11" x14ac:dyDescent="0.3">
      <c r="A208" t="s">
        <v>2309</v>
      </c>
      <c r="B208">
        <v>207</v>
      </c>
      <c r="C208" t="s">
        <v>1477</v>
      </c>
      <c r="D208">
        <v>61</v>
      </c>
      <c r="E208" s="21">
        <v>32788</v>
      </c>
      <c r="F208" s="21">
        <v>575965</v>
      </c>
      <c r="G208">
        <v>9.1999999999999998E-2</v>
      </c>
      <c r="H208">
        <v>10</v>
      </c>
      <c r="I208">
        <v>708</v>
      </c>
      <c r="J208">
        <v>5</v>
      </c>
      <c r="K208" s="21">
        <v>17221</v>
      </c>
    </row>
    <row r="209" spans="1:11" x14ac:dyDescent="0.3">
      <c r="A209" t="s">
        <v>2309</v>
      </c>
      <c r="B209">
        <v>208</v>
      </c>
      <c r="C209" t="s">
        <v>1478</v>
      </c>
      <c r="D209">
        <v>39</v>
      </c>
      <c r="E209" s="21">
        <v>53195</v>
      </c>
      <c r="F209" s="21">
        <v>1540952</v>
      </c>
      <c r="G209">
        <v>0.105</v>
      </c>
      <c r="H209">
        <v>25</v>
      </c>
      <c r="I209">
        <v>633</v>
      </c>
      <c r="J209">
        <v>9</v>
      </c>
      <c r="K209" s="21">
        <v>45695</v>
      </c>
    </row>
    <row r="210" spans="1:11" x14ac:dyDescent="0.3">
      <c r="A210" t="s">
        <v>2309</v>
      </c>
      <c r="B210">
        <v>209</v>
      </c>
      <c r="C210" t="s">
        <v>1479</v>
      </c>
      <c r="D210">
        <v>54</v>
      </c>
      <c r="E210" s="21">
        <v>56404</v>
      </c>
      <c r="F210" s="21">
        <v>1569770</v>
      </c>
      <c r="G210">
        <v>8.6999999999999994E-2</v>
      </c>
      <c r="H210">
        <v>25</v>
      </c>
      <c r="I210">
        <v>694</v>
      </c>
      <c r="J210">
        <v>2</v>
      </c>
      <c r="K210" s="21">
        <v>17141</v>
      </c>
    </row>
    <row r="211" spans="1:11" x14ac:dyDescent="0.3">
      <c r="A211" t="s">
        <v>2309</v>
      </c>
      <c r="B211">
        <v>210</v>
      </c>
      <c r="C211" t="s">
        <v>1480</v>
      </c>
      <c r="D211">
        <v>54</v>
      </c>
      <c r="E211" s="21">
        <v>55629</v>
      </c>
      <c r="F211" s="21">
        <v>650159</v>
      </c>
      <c r="G211">
        <v>9.6000000000000002E-2</v>
      </c>
      <c r="H211">
        <v>10</v>
      </c>
      <c r="I211">
        <v>847</v>
      </c>
      <c r="J211">
        <v>15</v>
      </c>
      <c r="K211" s="21">
        <v>24268</v>
      </c>
    </row>
    <row r="212" spans="1:11" x14ac:dyDescent="0.3">
      <c r="A212" t="s">
        <v>2309</v>
      </c>
      <c r="B212">
        <v>211</v>
      </c>
      <c r="C212" t="s">
        <v>1481</v>
      </c>
      <c r="D212">
        <v>26</v>
      </c>
      <c r="E212" s="21">
        <v>37671</v>
      </c>
      <c r="F212" s="21">
        <v>1571618</v>
      </c>
      <c r="G212">
        <v>8.1000000000000003E-2</v>
      </c>
      <c r="H212">
        <v>20</v>
      </c>
      <c r="I212">
        <v>736</v>
      </c>
      <c r="J212">
        <v>12</v>
      </c>
      <c r="K212" s="21">
        <v>49559</v>
      </c>
    </row>
    <row r="213" spans="1:11" x14ac:dyDescent="0.3">
      <c r="A213" t="s">
        <v>2309</v>
      </c>
      <c r="B213">
        <v>212</v>
      </c>
      <c r="C213" t="s">
        <v>1482</v>
      </c>
      <c r="D213">
        <v>33</v>
      </c>
      <c r="E213" s="21">
        <v>42512</v>
      </c>
      <c r="F213" s="21">
        <v>2309552</v>
      </c>
      <c r="G213">
        <v>0.11899999999999999</v>
      </c>
      <c r="H213">
        <v>25</v>
      </c>
      <c r="I213">
        <v>797</v>
      </c>
      <c r="J213">
        <v>0</v>
      </c>
      <c r="K213" s="21">
        <v>47517</v>
      </c>
    </row>
    <row r="214" spans="1:11" x14ac:dyDescent="0.3">
      <c r="A214" t="s">
        <v>2309</v>
      </c>
      <c r="B214">
        <v>213</v>
      </c>
      <c r="C214" t="s">
        <v>1483</v>
      </c>
      <c r="D214">
        <v>45</v>
      </c>
      <c r="E214" s="21">
        <v>28675</v>
      </c>
      <c r="F214" s="21">
        <v>1999667</v>
      </c>
      <c r="G214">
        <v>0.106</v>
      </c>
      <c r="H214">
        <v>25</v>
      </c>
      <c r="I214">
        <v>834</v>
      </c>
      <c r="J214">
        <v>0</v>
      </c>
      <c r="K214" s="21">
        <v>16642</v>
      </c>
    </row>
    <row r="215" spans="1:11" x14ac:dyDescent="0.3">
      <c r="A215" t="s">
        <v>2309</v>
      </c>
      <c r="B215">
        <v>214</v>
      </c>
      <c r="C215" t="s">
        <v>1484</v>
      </c>
      <c r="D215">
        <v>65</v>
      </c>
      <c r="E215" s="21">
        <v>50649</v>
      </c>
      <c r="F215" s="21">
        <v>754708</v>
      </c>
      <c r="G215">
        <v>0.108</v>
      </c>
      <c r="H215">
        <v>15</v>
      </c>
      <c r="I215">
        <v>642</v>
      </c>
      <c r="J215">
        <v>0</v>
      </c>
      <c r="K215" s="21">
        <v>46310</v>
      </c>
    </row>
    <row r="216" spans="1:11" x14ac:dyDescent="0.3">
      <c r="A216" t="s">
        <v>2309</v>
      </c>
      <c r="B216">
        <v>215</v>
      </c>
      <c r="C216" t="s">
        <v>1485</v>
      </c>
      <c r="D216">
        <v>32</v>
      </c>
      <c r="E216" s="21">
        <v>16292</v>
      </c>
      <c r="F216" s="21">
        <v>1153215</v>
      </c>
      <c r="G216">
        <v>9.1999999999999998E-2</v>
      </c>
      <c r="H216">
        <v>30</v>
      </c>
      <c r="I216">
        <v>765</v>
      </c>
      <c r="J216">
        <v>14</v>
      </c>
      <c r="K216" s="21">
        <v>38717</v>
      </c>
    </row>
    <row r="217" spans="1:11" x14ac:dyDescent="0.3">
      <c r="A217" t="s">
        <v>2309</v>
      </c>
      <c r="B217">
        <v>216</v>
      </c>
      <c r="C217" t="s">
        <v>1486</v>
      </c>
      <c r="D217">
        <v>56</v>
      </c>
      <c r="E217" s="21">
        <v>89667</v>
      </c>
      <c r="F217" s="21">
        <v>2415712</v>
      </c>
      <c r="G217">
        <v>8.5000000000000006E-2</v>
      </c>
      <c r="H217">
        <v>10</v>
      </c>
      <c r="I217">
        <v>696</v>
      </c>
      <c r="J217">
        <v>14</v>
      </c>
      <c r="K217" s="21">
        <v>8680</v>
      </c>
    </row>
    <row r="218" spans="1:11" x14ac:dyDescent="0.3">
      <c r="A218" t="s">
        <v>2309</v>
      </c>
      <c r="B218">
        <v>217</v>
      </c>
      <c r="C218" t="s">
        <v>1487</v>
      </c>
      <c r="D218">
        <v>62</v>
      </c>
      <c r="E218" s="21">
        <v>65744</v>
      </c>
      <c r="F218" s="21">
        <v>1299341</v>
      </c>
      <c r="G218">
        <v>0.111</v>
      </c>
      <c r="H218">
        <v>10</v>
      </c>
      <c r="I218">
        <v>689</v>
      </c>
      <c r="J218">
        <v>10</v>
      </c>
      <c r="K218" s="21">
        <v>34575</v>
      </c>
    </row>
    <row r="219" spans="1:11" x14ac:dyDescent="0.3">
      <c r="A219" t="s">
        <v>2309</v>
      </c>
      <c r="B219">
        <v>218</v>
      </c>
      <c r="C219" t="s">
        <v>1488</v>
      </c>
      <c r="D219">
        <v>57</v>
      </c>
      <c r="E219" s="21">
        <v>16863</v>
      </c>
      <c r="F219" s="21">
        <v>1300775</v>
      </c>
      <c r="G219">
        <v>8.8999999999999996E-2</v>
      </c>
      <c r="H219">
        <v>25</v>
      </c>
      <c r="I219">
        <v>605</v>
      </c>
      <c r="J219">
        <v>1</v>
      </c>
      <c r="K219" s="21">
        <v>6751</v>
      </c>
    </row>
    <row r="220" spans="1:11" x14ac:dyDescent="0.3">
      <c r="A220" t="s">
        <v>2309</v>
      </c>
      <c r="B220">
        <v>219</v>
      </c>
      <c r="C220" t="s">
        <v>1489</v>
      </c>
      <c r="D220">
        <v>28</v>
      </c>
      <c r="E220" s="21">
        <v>116664</v>
      </c>
      <c r="F220" s="21">
        <v>1726090</v>
      </c>
      <c r="G220">
        <v>8.7999999999999995E-2</v>
      </c>
      <c r="H220">
        <v>15</v>
      </c>
      <c r="I220">
        <v>830</v>
      </c>
      <c r="J220">
        <v>10</v>
      </c>
      <c r="K220" s="21">
        <v>3473</v>
      </c>
    </row>
    <row r="221" spans="1:11" x14ac:dyDescent="0.3">
      <c r="A221" t="s">
        <v>2309</v>
      </c>
      <c r="B221">
        <v>220</v>
      </c>
      <c r="C221" t="s">
        <v>1490</v>
      </c>
      <c r="D221">
        <v>51</v>
      </c>
      <c r="E221" s="21">
        <v>23805</v>
      </c>
      <c r="F221" s="21">
        <v>1767012</v>
      </c>
      <c r="G221">
        <v>9.1999999999999998E-2</v>
      </c>
      <c r="H221">
        <v>10</v>
      </c>
      <c r="I221">
        <v>636</v>
      </c>
      <c r="J221">
        <v>13</v>
      </c>
      <c r="K221" s="21">
        <v>4476</v>
      </c>
    </row>
    <row r="222" spans="1:11" x14ac:dyDescent="0.3">
      <c r="A222" t="s">
        <v>2309</v>
      </c>
      <c r="B222">
        <v>221</v>
      </c>
      <c r="C222" t="s">
        <v>1491</v>
      </c>
      <c r="D222">
        <v>63</v>
      </c>
      <c r="E222" s="21">
        <v>92308</v>
      </c>
      <c r="F222" s="21">
        <v>1779959</v>
      </c>
      <c r="G222">
        <v>9.2999999999999999E-2</v>
      </c>
      <c r="H222">
        <v>20</v>
      </c>
      <c r="I222">
        <v>758</v>
      </c>
      <c r="J222">
        <v>6</v>
      </c>
      <c r="K222" s="21">
        <v>37113</v>
      </c>
    </row>
    <row r="223" spans="1:11" x14ac:dyDescent="0.3">
      <c r="A223" t="s">
        <v>2309</v>
      </c>
      <c r="B223">
        <v>222</v>
      </c>
      <c r="C223" t="s">
        <v>1492</v>
      </c>
      <c r="D223">
        <v>22</v>
      </c>
      <c r="E223" s="21">
        <v>101871</v>
      </c>
      <c r="F223" s="21">
        <v>1916927</v>
      </c>
      <c r="G223">
        <v>8.6999999999999994E-2</v>
      </c>
      <c r="H223">
        <v>20</v>
      </c>
      <c r="I223">
        <v>832</v>
      </c>
      <c r="J223">
        <v>11</v>
      </c>
      <c r="K223" s="21">
        <v>39615</v>
      </c>
    </row>
    <row r="224" spans="1:11" x14ac:dyDescent="0.3">
      <c r="A224" t="s">
        <v>2309</v>
      </c>
      <c r="B224">
        <v>223</v>
      </c>
      <c r="C224" t="s">
        <v>1493</v>
      </c>
      <c r="D224">
        <v>44</v>
      </c>
      <c r="E224" s="21">
        <v>73466</v>
      </c>
      <c r="F224" s="21">
        <v>2478782</v>
      </c>
      <c r="G224">
        <v>9.7000000000000003E-2</v>
      </c>
      <c r="H224">
        <v>15</v>
      </c>
      <c r="I224">
        <v>711</v>
      </c>
      <c r="J224">
        <v>11</v>
      </c>
      <c r="K224" s="21">
        <v>11439</v>
      </c>
    </row>
    <row r="225" spans="1:11" x14ac:dyDescent="0.3">
      <c r="A225" t="s">
        <v>2309</v>
      </c>
      <c r="B225">
        <v>224</v>
      </c>
      <c r="C225" t="s">
        <v>1494</v>
      </c>
      <c r="D225">
        <v>34</v>
      </c>
      <c r="E225" s="21">
        <v>29499</v>
      </c>
      <c r="F225" s="21">
        <v>1982531</v>
      </c>
      <c r="G225">
        <v>0.10100000000000001</v>
      </c>
      <c r="H225">
        <v>30</v>
      </c>
      <c r="I225">
        <v>802</v>
      </c>
      <c r="J225">
        <v>13</v>
      </c>
      <c r="K225" s="21">
        <v>7986</v>
      </c>
    </row>
    <row r="226" spans="1:11" x14ac:dyDescent="0.3">
      <c r="A226" t="s">
        <v>2309</v>
      </c>
      <c r="B226">
        <v>225</v>
      </c>
      <c r="C226" t="s">
        <v>1495</v>
      </c>
      <c r="D226">
        <v>52</v>
      </c>
      <c r="E226" s="21">
        <v>117244</v>
      </c>
      <c r="F226" s="21">
        <v>1111040</v>
      </c>
      <c r="G226">
        <v>8.3000000000000004E-2</v>
      </c>
      <c r="H226">
        <v>15</v>
      </c>
      <c r="I226">
        <v>688</v>
      </c>
      <c r="J226">
        <v>9</v>
      </c>
      <c r="K226" s="21">
        <v>28768</v>
      </c>
    </row>
    <row r="227" spans="1:11" x14ac:dyDescent="0.3">
      <c r="A227" t="s">
        <v>2309</v>
      </c>
      <c r="B227">
        <v>226</v>
      </c>
      <c r="C227" t="s">
        <v>1496</v>
      </c>
      <c r="D227">
        <v>61</v>
      </c>
      <c r="E227" s="21">
        <v>61805</v>
      </c>
      <c r="F227" s="21">
        <v>2238610</v>
      </c>
      <c r="G227">
        <v>0.11600000000000001</v>
      </c>
      <c r="H227">
        <v>20</v>
      </c>
      <c r="I227">
        <v>692</v>
      </c>
      <c r="J227">
        <v>14</v>
      </c>
      <c r="K227" s="21">
        <v>27226</v>
      </c>
    </row>
    <row r="228" spans="1:11" x14ac:dyDescent="0.3">
      <c r="A228" t="s">
        <v>2309</v>
      </c>
      <c r="B228">
        <v>227</v>
      </c>
      <c r="C228" t="s">
        <v>1497</v>
      </c>
      <c r="D228">
        <v>32</v>
      </c>
      <c r="E228" s="21">
        <v>63017</v>
      </c>
      <c r="F228" s="21">
        <v>1337865</v>
      </c>
      <c r="G228">
        <v>0.114</v>
      </c>
      <c r="H228">
        <v>15</v>
      </c>
      <c r="I228">
        <v>619</v>
      </c>
      <c r="J228">
        <v>11</v>
      </c>
      <c r="K228" s="21">
        <v>37085</v>
      </c>
    </row>
    <row r="229" spans="1:11" x14ac:dyDescent="0.3">
      <c r="A229" t="s">
        <v>2309</v>
      </c>
      <c r="B229">
        <v>228</v>
      </c>
      <c r="C229" t="s">
        <v>1498</v>
      </c>
      <c r="D229">
        <v>60</v>
      </c>
      <c r="E229" s="21">
        <v>30363</v>
      </c>
      <c r="F229" s="21">
        <v>1441709</v>
      </c>
      <c r="G229">
        <v>0.09</v>
      </c>
      <c r="H229">
        <v>15</v>
      </c>
      <c r="I229">
        <v>600</v>
      </c>
      <c r="J229">
        <v>11</v>
      </c>
      <c r="K229" s="21">
        <v>38610</v>
      </c>
    </row>
    <row r="230" spans="1:11" x14ac:dyDescent="0.3">
      <c r="A230" t="s">
        <v>2309</v>
      </c>
      <c r="B230">
        <v>229</v>
      </c>
      <c r="C230" t="s">
        <v>1499</v>
      </c>
      <c r="D230">
        <v>55</v>
      </c>
      <c r="E230" s="21">
        <v>115452</v>
      </c>
      <c r="F230" s="21">
        <v>1965821</v>
      </c>
      <c r="G230">
        <v>9.8000000000000004E-2</v>
      </c>
      <c r="H230">
        <v>15</v>
      </c>
      <c r="I230">
        <v>780</v>
      </c>
      <c r="J230">
        <v>13</v>
      </c>
      <c r="K230" s="21">
        <v>29253</v>
      </c>
    </row>
    <row r="231" spans="1:11" x14ac:dyDescent="0.3">
      <c r="A231" t="s">
        <v>2309</v>
      </c>
      <c r="B231">
        <v>230</v>
      </c>
      <c r="C231" t="s">
        <v>1500</v>
      </c>
      <c r="D231">
        <v>39</v>
      </c>
      <c r="E231" s="21">
        <v>19159</v>
      </c>
      <c r="F231" s="21">
        <v>2280327</v>
      </c>
      <c r="G231">
        <v>0.115</v>
      </c>
      <c r="H231">
        <v>30</v>
      </c>
      <c r="I231">
        <v>688</v>
      </c>
      <c r="J231">
        <v>4</v>
      </c>
      <c r="K231" s="21">
        <v>29710</v>
      </c>
    </row>
    <row r="232" spans="1:11" x14ac:dyDescent="0.3">
      <c r="A232" t="s">
        <v>2309</v>
      </c>
      <c r="B232">
        <v>231</v>
      </c>
      <c r="C232" t="s">
        <v>1501</v>
      </c>
      <c r="D232">
        <v>28</v>
      </c>
      <c r="E232" s="21">
        <v>89448</v>
      </c>
      <c r="F232" s="21">
        <v>1156679</v>
      </c>
      <c r="G232">
        <v>8.6999999999999994E-2</v>
      </c>
      <c r="H232">
        <v>25</v>
      </c>
      <c r="I232">
        <v>785</v>
      </c>
      <c r="J232">
        <v>13</v>
      </c>
      <c r="K232" s="21">
        <v>1827</v>
      </c>
    </row>
    <row r="233" spans="1:11" x14ac:dyDescent="0.3">
      <c r="A233" t="s">
        <v>2309</v>
      </c>
      <c r="B233">
        <v>232</v>
      </c>
      <c r="C233" t="s">
        <v>1502</v>
      </c>
      <c r="D233">
        <v>50</v>
      </c>
      <c r="E233" s="21">
        <v>86306</v>
      </c>
      <c r="F233" s="21">
        <v>2339666</v>
      </c>
      <c r="G233">
        <v>0.104</v>
      </c>
      <c r="H233">
        <v>20</v>
      </c>
      <c r="I233">
        <v>687</v>
      </c>
      <c r="J233">
        <v>11</v>
      </c>
      <c r="K233" s="21">
        <v>20871</v>
      </c>
    </row>
    <row r="234" spans="1:11" x14ac:dyDescent="0.3">
      <c r="A234" t="s">
        <v>2309</v>
      </c>
      <c r="B234">
        <v>233</v>
      </c>
      <c r="C234" t="s">
        <v>1503</v>
      </c>
      <c r="D234">
        <v>33</v>
      </c>
      <c r="E234" s="21">
        <v>115091</v>
      </c>
      <c r="F234" s="21">
        <v>1172727</v>
      </c>
      <c r="G234">
        <v>8.1000000000000003E-2</v>
      </c>
      <c r="H234">
        <v>30</v>
      </c>
      <c r="I234">
        <v>749</v>
      </c>
      <c r="J234">
        <v>9</v>
      </c>
      <c r="K234" s="21">
        <v>28993</v>
      </c>
    </row>
    <row r="235" spans="1:11" x14ac:dyDescent="0.3">
      <c r="A235" t="s">
        <v>2309</v>
      </c>
      <c r="B235">
        <v>234</v>
      </c>
      <c r="C235" t="s">
        <v>1504</v>
      </c>
      <c r="D235">
        <v>62</v>
      </c>
      <c r="E235" s="21">
        <v>112101</v>
      </c>
      <c r="F235" s="21">
        <v>1931749</v>
      </c>
      <c r="G235">
        <v>0.104</v>
      </c>
      <c r="H235">
        <v>20</v>
      </c>
      <c r="I235">
        <v>623</v>
      </c>
      <c r="J235">
        <v>3</v>
      </c>
      <c r="K235" s="21">
        <v>35262</v>
      </c>
    </row>
    <row r="236" spans="1:11" x14ac:dyDescent="0.3">
      <c r="A236" t="s">
        <v>2309</v>
      </c>
      <c r="B236">
        <v>235</v>
      </c>
      <c r="C236" t="s">
        <v>1505</v>
      </c>
      <c r="D236">
        <v>58</v>
      </c>
      <c r="E236" s="21">
        <v>31085</v>
      </c>
      <c r="F236" s="21">
        <v>1732646</v>
      </c>
      <c r="G236">
        <v>8.5000000000000006E-2</v>
      </c>
      <c r="H236">
        <v>10</v>
      </c>
      <c r="I236">
        <v>667</v>
      </c>
      <c r="J236">
        <v>10</v>
      </c>
      <c r="K236" s="21">
        <v>30382</v>
      </c>
    </row>
    <row r="237" spans="1:11" x14ac:dyDescent="0.3">
      <c r="A237" t="s">
        <v>2309</v>
      </c>
      <c r="B237">
        <v>236</v>
      </c>
      <c r="C237" t="s">
        <v>1506</v>
      </c>
      <c r="D237">
        <v>63</v>
      </c>
      <c r="E237" s="21">
        <v>80317</v>
      </c>
      <c r="F237" s="21">
        <v>607840</v>
      </c>
      <c r="G237">
        <v>0.108</v>
      </c>
      <c r="H237">
        <v>15</v>
      </c>
      <c r="I237">
        <v>701</v>
      </c>
      <c r="J237">
        <v>5</v>
      </c>
      <c r="K237" s="21">
        <v>47904</v>
      </c>
    </row>
    <row r="238" spans="1:11" x14ac:dyDescent="0.3">
      <c r="A238" t="s">
        <v>2309</v>
      </c>
      <c r="B238">
        <v>237</v>
      </c>
      <c r="C238" t="s">
        <v>1507</v>
      </c>
      <c r="D238">
        <v>20</v>
      </c>
      <c r="E238" s="21">
        <v>63123</v>
      </c>
      <c r="F238" s="21">
        <v>1979850</v>
      </c>
      <c r="G238">
        <v>9.9000000000000005E-2</v>
      </c>
      <c r="H238">
        <v>30</v>
      </c>
      <c r="I238">
        <v>700</v>
      </c>
      <c r="J238">
        <v>8</v>
      </c>
      <c r="K238" s="21">
        <v>13184</v>
      </c>
    </row>
    <row r="239" spans="1:11" x14ac:dyDescent="0.3">
      <c r="A239" t="s">
        <v>2309</v>
      </c>
      <c r="B239">
        <v>238</v>
      </c>
      <c r="C239" t="s">
        <v>1508</v>
      </c>
      <c r="D239">
        <v>35</v>
      </c>
      <c r="E239" s="21">
        <v>81059</v>
      </c>
      <c r="F239" s="21">
        <v>1586116</v>
      </c>
      <c r="G239">
        <v>0.106</v>
      </c>
      <c r="H239">
        <v>15</v>
      </c>
      <c r="I239">
        <v>663</v>
      </c>
      <c r="J239">
        <v>7</v>
      </c>
      <c r="K239" s="21">
        <v>44975</v>
      </c>
    </row>
    <row r="240" spans="1:11" x14ac:dyDescent="0.3">
      <c r="A240" t="s">
        <v>2309</v>
      </c>
      <c r="B240">
        <v>239</v>
      </c>
      <c r="C240" t="s">
        <v>1509</v>
      </c>
      <c r="D240">
        <v>42</v>
      </c>
      <c r="E240" s="21">
        <v>102770</v>
      </c>
      <c r="F240" s="21">
        <v>1202832</v>
      </c>
      <c r="G240">
        <v>0.1</v>
      </c>
      <c r="H240">
        <v>25</v>
      </c>
      <c r="I240">
        <v>836</v>
      </c>
      <c r="J240">
        <v>14</v>
      </c>
      <c r="K240" s="21">
        <v>10992</v>
      </c>
    </row>
    <row r="241" spans="1:11" x14ac:dyDescent="0.3">
      <c r="A241" t="s">
        <v>2309</v>
      </c>
      <c r="B241">
        <v>240</v>
      </c>
      <c r="C241" t="s">
        <v>1510</v>
      </c>
      <c r="D241">
        <v>65</v>
      </c>
      <c r="E241" s="21">
        <v>46179</v>
      </c>
      <c r="F241" s="21">
        <v>1451972</v>
      </c>
      <c r="G241">
        <v>0.10299999999999999</v>
      </c>
      <c r="H241">
        <v>25</v>
      </c>
      <c r="I241">
        <v>794</v>
      </c>
      <c r="J241">
        <v>6</v>
      </c>
      <c r="K241" s="21">
        <v>15490</v>
      </c>
    </row>
    <row r="242" spans="1:11" x14ac:dyDescent="0.3">
      <c r="A242" t="s">
        <v>2309</v>
      </c>
      <c r="B242">
        <v>241</v>
      </c>
      <c r="C242" t="s">
        <v>1511</v>
      </c>
      <c r="D242">
        <v>28</v>
      </c>
      <c r="E242" s="21">
        <v>71647</v>
      </c>
      <c r="F242" s="21">
        <v>825908</v>
      </c>
      <c r="G242">
        <v>0.11600000000000001</v>
      </c>
      <c r="H242">
        <v>25</v>
      </c>
      <c r="I242">
        <v>632</v>
      </c>
      <c r="J242">
        <v>2</v>
      </c>
      <c r="K242" s="21">
        <v>18214</v>
      </c>
    </row>
    <row r="243" spans="1:11" x14ac:dyDescent="0.3">
      <c r="A243" t="s">
        <v>2309</v>
      </c>
      <c r="B243">
        <v>242</v>
      </c>
      <c r="C243" t="s">
        <v>1512</v>
      </c>
      <c r="D243">
        <v>36</v>
      </c>
      <c r="E243" s="21">
        <v>89658</v>
      </c>
      <c r="F243" s="21">
        <v>791847</v>
      </c>
      <c r="G243">
        <v>8.1000000000000003E-2</v>
      </c>
      <c r="H243">
        <v>15</v>
      </c>
      <c r="I243">
        <v>754</v>
      </c>
      <c r="J243">
        <v>15</v>
      </c>
      <c r="K243" s="21">
        <v>21972</v>
      </c>
    </row>
    <row r="244" spans="1:11" x14ac:dyDescent="0.3">
      <c r="A244" t="s">
        <v>2309</v>
      </c>
      <c r="B244">
        <v>243</v>
      </c>
      <c r="C244" t="s">
        <v>1513</v>
      </c>
      <c r="D244">
        <v>40</v>
      </c>
      <c r="E244" s="21">
        <v>77581</v>
      </c>
      <c r="F244" s="21">
        <v>1106997</v>
      </c>
      <c r="G244">
        <v>0.104</v>
      </c>
      <c r="H244">
        <v>30</v>
      </c>
      <c r="I244">
        <v>787</v>
      </c>
      <c r="J244">
        <v>9</v>
      </c>
      <c r="K244" s="21">
        <v>41533</v>
      </c>
    </row>
    <row r="245" spans="1:11" x14ac:dyDescent="0.3">
      <c r="A245" t="s">
        <v>2309</v>
      </c>
      <c r="B245">
        <v>244</v>
      </c>
      <c r="C245" t="s">
        <v>1514</v>
      </c>
      <c r="D245">
        <v>47</v>
      </c>
      <c r="E245" s="21">
        <v>55270</v>
      </c>
      <c r="F245" s="21">
        <v>1019916</v>
      </c>
      <c r="G245">
        <v>0.115</v>
      </c>
      <c r="H245">
        <v>30</v>
      </c>
      <c r="I245">
        <v>625</v>
      </c>
      <c r="J245">
        <v>1</v>
      </c>
      <c r="K245" s="21">
        <v>19178</v>
      </c>
    </row>
    <row r="246" spans="1:11" x14ac:dyDescent="0.3">
      <c r="A246" t="s">
        <v>2309</v>
      </c>
      <c r="B246">
        <v>245</v>
      </c>
      <c r="C246" t="s">
        <v>1515</v>
      </c>
      <c r="D246">
        <v>22</v>
      </c>
      <c r="E246" s="21">
        <v>54031</v>
      </c>
      <c r="F246" s="21">
        <v>1769112</v>
      </c>
      <c r="G246">
        <v>9.9000000000000005E-2</v>
      </c>
      <c r="H246">
        <v>20</v>
      </c>
      <c r="I246">
        <v>751</v>
      </c>
      <c r="J246">
        <v>13</v>
      </c>
      <c r="K246" s="21">
        <v>45407</v>
      </c>
    </row>
    <row r="247" spans="1:11" x14ac:dyDescent="0.3">
      <c r="A247" t="s">
        <v>2309</v>
      </c>
      <c r="B247">
        <v>246</v>
      </c>
      <c r="C247" t="s">
        <v>1516</v>
      </c>
      <c r="D247">
        <v>25</v>
      </c>
      <c r="E247" s="21">
        <v>116638</v>
      </c>
      <c r="F247" s="21">
        <v>532663</v>
      </c>
      <c r="G247">
        <v>8.3000000000000004E-2</v>
      </c>
      <c r="H247">
        <v>15</v>
      </c>
      <c r="I247">
        <v>616</v>
      </c>
      <c r="J247">
        <v>6</v>
      </c>
      <c r="K247" s="21">
        <v>38040</v>
      </c>
    </row>
    <row r="248" spans="1:11" x14ac:dyDescent="0.3">
      <c r="A248" t="s">
        <v>2309</v>
      </c>
      <c r="B248">
        <v>247</v>
      </c>
      <c r="C248" t="s">
        <v>1517</v>
      </c>
      <c r="D248">
        <v>21</v>
      </c>
      <c r="E248" s="21">
        <v>21920</v>
      </c>
      <c r="F248" s="21">
        <v>1883958</v>
      </c>
      <c r="G248">
        <v>8.3000000000000004E-2</v>
      </c>
      <c r="H248">
        <v>30</v>
      </c>
      <c r="I248">
        <v>780</v>
      </c>
      <c r="J248">
        <v>3</v>
      </c>
      <c r="K248" s="21">
        <v>40515</v>
      </c>
    </row>
    <row r="249" spans="1:11" x14ac:dyDescent="0.3">
      <c r="A249" t="s">
        <v>2309</v>
      </c>
      <c r="B249">
        <v>248</v>
      </c>
      <c r="C249" t="s">
        <v>1518</v>
      </c>
      <c r="D249">
        <v>43</v>
      </c>
      <c r="E249" s="21">
        <v>104612</v>
      </c>
      <c r="F249" s="21">
        <v>847680</v>
      </c>
      <c r="G249">
        <v>0.112</v>
      </c>
      <c r="H249">
        <v>20</v>
      </c>
      <c r="I249">
        <v>759</v>
      </c>
      <c r="J249">
        <v>8</v>
      </c>
      <c r="K249" s="21">
        <v>10408</v>
      </c>
    </row>
    <row r="250" spans="1:11" x14ac:dyDescent="0.3">
      <c r="A250" t="s">
        <v>2309</v>
      </c>
      <c r="B250">
        <v>249</v>
      </c>
      <c r="C250" t="s">
        <v>1519</v>
      </c>
      <c r="D250">
        <v>37</v>
      </c>
      <c r="E250" s="21">
        <v>20632</v>
      </c>
      <c r="F250" s="21">
        <v>583265</v>
      </c>
      <c r="G250">
        <v>9.1999999999999998E-2</v>
      </c>
      <c r="H250">
        <v>25</v>
      </c>
      <c r="I250">
        <v>736</v>
      </c>
      <c r="J250">
        <v>4</v>
      </c>
      <c r="K250" s="21">
        <v>24357</v>
      </c>
    </row>
    <row r="251" spans="1:11" x14ac:dyDescent="0.3">
      <c r="A251" t="s">
        <v>2309</v>
      </c>
      <c r="B251">
        <v>250</v>
      </c>
      <c r="C251" t="s">
        <v>1520</v>
      </c>
      <c r="D251">
        <v>22</v>
      </c>
      <c r="E251" s="21">
        <v>92439</v>
      </c>
      <c r="F251" s="21">
        <v>1647970</v>
      </c>
      <c r="G251">
        <v>9.1999999999999998E-2</v>
      </c>
      <c r="H251">
        <v>10</v>
      </c>
      <c r="I251">
        <v>645</v>
      </c>
      <c r="J251">
        <v>4</v>
      </c>
      <c r="K251" s="21">
        <v>30783</v>
      </c>
    </row>
    <row r="252" spans="1:11" x14ac:dyDescent="0.3">
      <c r="A252" t="s">
        <v>2309</v>
      </c>
      <c r="B252">
        <v>251</v>
      </c>
      <c r="C252" t="s">
        <v>1521</v>
      </c>
      <c r="D252">
        <v>61</v>
      </c>
      <c r="E252" s="21">
        <v>49969</v>
      </c>
      <c r="F252" s="21">
        <v>893536</v>
      </c>
      <c r="G252">
        <v>9.9000000000000005E-2</v>
      </c>
      <c r="H252">
        <v>25</v>
      </c>
      <c r="I252">
        <v>613</v>
      </c>
      <c r="J252">
        <v>0</v>
      </c>
      <c r="K252" s="21">
        <v>9538</v>
      </c>
    </row>
    <row r="253" spans="1:11" x14ac:dyDescent="0.3">
      <c r="A253" t="s">
        <v>2309</v>
      </c>
      <c r="B253">
        <v>252</v>
      </c>
      <c r="C253" t="s">
        <v>1522</v>
      </c>
      <c r="D253">
        <v>29</v>
      </c>
      <c r="E253" s="21">
        <v>87678</v>
      </c>
      <c r="F253" s="21">
        <v>1928825</v>
      </c>
      <c r="G253">
        <v>0.113</v>
      </c>
      <c r="H253">
        <v>20</v>
      </c>
      <c r="I253">
        <v>607</v>
      </c>
      <c r="J253">
        <v>14</v>
      </c>
      <c r="K253" s="21">
        <v>9861</v>
      </c>
    </row>
    <row r="254" spans="1:11" x14ac:dyDescent="0.3">
      <c r="A254" t="s">
        <v>2309</v>
      </c>
      <c r="B254">
        <v>253</v>
      </c>
      <c r="C254" t="s">
        <v>1523</v>
      </c>
      <c r="D254">
        <v>47</v>
      </c>
      <c r="E254" s="21">
        <v>61993</v>
      </c>
      <c r="F254" s="21">
        <v>2158630</v>
      </c>
      <c r="G254">
        <v>0.11899999999999999</v>
      </c>
      <c r="H254">
        <v>25</v>
      </c>
      <c r="I254">
        <v>629</v>
      </c>
      <c r="J254">
        <v>15</v>
      </c>
      <c r="K254" s="21">
        <v>14958</v>
      </c>
    </row>
    <row r="255" spans="1:11" x14ac:dyDescent="0.3">
      <c r="A255" t="s">
        <v>2309</v>
      </c>
      <c r="B255">
        <v>254</v>
      </c>
      <c r="C255" t="s">
        <v>1524</v>
      </c>
      <c r="D255">
        <v>30</v>
      </c>
      <c r="E255" s="21">
        <v>90695</v>
      </c>
      <c r="F255" s="21">
        <v>905501</v>
      </c>
      <c r="G255">
        <v>9.5000000000000001E-2</v>
      </c>
      <c r="H255">
        <v>10</v>
      </c>
      <c r="I255">
        <v>809</v>
      </c>
      <c r="J255">
        <v>5</v>
      </c>
      <c r="K255" s="21">
        <v>13605</v>
      </c>
    </row>
    <row r="256" spans="1:11" x14ac:dyDescent="0.3">
      <c r="A256" t="s">
        <v>2309</v>
      </c>
      <c r="B256">
        <v>255</v>
      </c>
      <c r="C256" t="s">
        <v>1525</v>
      </c>
      <c r="D256">
        <v>34</v>
      </c>
      <c r="E256" s="21">
        <v>48729</v>
      </c>
      <c r="F256" s="21">
        <v>2343196</v>
      </c>
      <c r="G256">
        <v>0.10100000000000001</v>
      </c>
      <c r="H256">
        <v>10</v>
      </c>
      <c r="I256">
        <v>817</v>
      </c>
      <c r="J256">
        <v>9</v>
      </c>
      <c r="K256" s="21">
        <v>6260</v>
      </c>
    </row>
    <row r="257" spans="1:11" x14ac:dyDescent="0.3">
      <c r="A257" t="s">
        <v>2309</v>
      </c>
      <c r="B257">
        <v>256</v>
      </c>
      <c r="C257" t="s">
        <v>1526</v>
      </c>
      <c r="D257">
        <v>57</v>
      </c>
      <c r="E257" s="21">
        <v>41610</v>
      </c>
      <c r="F257" s="21">
        <v>2203899</v>
      </c>
      <c r="G257">
        <v>0.11899999999999999</v>
      </c>
      <c r="H257">
        <v>10</v>
      </c>
      <c r="I257">
        <v>704</v>
      </c>
      <c r="J257">
        <v>12</v>
      </c>
      <c r="K257" s="21">
        <v>31073</v>
      </c>
    </row>
    <row r="258" spans="1:11" x14ac:dyDescent="0.3">
      <c r="A258" t="s">
        <v>2309</v>
      </c>
      <c r="B258">
        <v>257</v>
      </c>
      <c r="C258" t="s">
        <v>1527</v>
      </c>
      <c r="D258">
        <v>23</v>
      </c>
      <c r="E258" s="21">
        <v>60789</v>
      </c>
      <c r="F258" s="21">
        <v>2487430</v>
      </c>
      <c r="G258">
        <v>0.09</v>
      </c>
      <c r="H258">
        <v>25</v>
      </c>
      <c r="I258">
        <v>610</v>
      </c>
      <c r="J258">
        <v>7</v>
      </c>
      <c r="K258" s="21">
        <v>2116</v>
      </c>
    </row>
    <row r="259" spans="1:11" x14ac:dyDescent="0.3">
      <c r="A259" t="s">
        <v>2309</v>
      </c>
      <c r="B259">
        <v>258</v>
      </c>
      <c r="C259" t="s">
        <v>1528</v>
      </c>
      <c r="D259">
        <v>49</v>
      </c>
      <c r="E259" s="21">
        <v>87210</v>
      </c>
      <c r="F259" s="21">
        <v>1335845</v>
      </c>
      <c r="G259">
        <v>9.0999999999999998E-2</v>
      </c>
      <c r="H259">
        <v>30</v>
      </c>
      <c r="I259">
        <v>660</v>
      </c>
      <c r="J259">
        <v>12</v>
      </c>
      <c r="K259" s="21">
        <v>32991</v>
      </c>
    </row>
    <row r="260" spans="1:11" x14ac:dyDescent="0.3">
      <c r="A260" t="s">
        <v>2309</v>
      </c>
      <c r="B260">
        <v>259</v>
      </c>
      <c r="C260" t="s">
        <v>1529</v>
      </c>
      <c r="D260">
        <v>31</v>
      </c>
      <c r="E260" s="21">
        <v>24702</v>
      </c>
      <c r="F260" s="21">
        <v>576692</v>
      </c>
      <c r="G260">
        <v>0.11600000000000001</v>
      </c>
      <c r="H260">
        <v>15</v>
      </c>
      <c r="I260">
        <v>633</v>
      </c>
      <c r="J260">
        <v>0</v>
      </c>
      <c r="K260" s="21">
        <v>15130</v>
      </c>
    </row>
    <row r="261" spans="1:11" x14ac:dyDescent="0.3">
      <c r="A261" t="s">
        <v>2309</v>
      </c>
      <c r="B261">
        <v>260</v>
      </c>
      <c r="C261" t="s">
        <v>1530</v>
      </c>
      <c r="D261">
        <v>54</v>
      </c>
      <c r="E261" s="21">
        <v>108121</v>
      </c>
      <c r="F261" s="21">
        <v>2314655</v>
      </c>
      <c r="G261">
        <v>9.6000000000000002E-2</v>
      </c>
      <c r="H261">
        <v>10</v>
      </c>
      <c r="I261">
        <v>792</v>
      </c>
      <c r="J261">
        <v>10</v>
      </c>
      <c r="K261" s="21">
        <v>35892</v>
      </c>
    </row>
    <row r="262" spans="1:11" x14ac:dyDescent="0.3">
      <c r="A262" t="s">
        <v>2309</v>
      </c>
      <c r="B262">
        <v>261</v>
      </c>
      <c r="C262" t="s">
        <v>1531</v>
      </c>
      <c r="D262">
        <v>64</v>
      </c>
      <c r="E262" s="21">
        <v>119076</v>
      </c>
      <c r="F262" s="21">
        <v>2007305</v>
      </c>
      <c r="G262">
        <v>8.5000000000000006E-2</v>
      </c>
      <c r="H262">
        <v>25</v>
      </c>
      <c r="I262">
        <v>827</v>
      </c>
      <c r="J262">
        <v>14</v>
      </c>
      <c r="K262" s="21">
        <v>35556</v>
      </c>
    </row>
    <row r="263" spans="1:11" x14ac:dyDescent="0.3">
      <c r="A263" t="s">
        <v>2309</v>
      </c>
      <c r="B263">
        <v>262</v>
      </c>
      <c r="C263" t="s">
        <v>1532</v>
      </c>
      <c r="D263">
        <v>27</v>
      </c>
      <c r="E263" s="21">
        <v>110957</v>
      </c>
      <c r="F263" s="21">
        <v>1548718</v>
      </c>
      <c r="G263">
        <v>8.7999999999999995E-2</v>
      </c>
      <c r="H263">
        <v>10</v>
      </c>
      <c r="I263">
        <v>629</v>
      </c>
      <c r="J263">
        <v>15</v>
      </c>
      <c r="K263" s="21">
        <v>11983</v>
      </c>
    </row>
    <row r="264" spans="1:11" x14ac:dyDescent="0.3">
      <c r="A264" t="s">
        <v>2309</v>
      </c>
      <c r="B264">
        <v>263</v>
      </c>
      <c r="C264" t="s">
        <v>1533</v>
      </c>
      <c r="D264">
        <v>22</v>
      </c>
      <c r="E264" s="21">
        <v>118926</v>
      </c>
      <c r="F264" s="21">
        <v>1933972</v>
      </c>
      <c r="G264">
        <v>0.10199999999999999</v>
      </c>
      <c r="H264">
        <v>15</v>
      </c>
      <c r="I264">
        <v>617</v>
      </c>
      <c r="J264">
        <v>14</v>
      </c>
      <c r="K264" s="21">
        <v>30964</v>
      </c>
    </row>
    <row r="265" spans="1:11" x14ac:dyDescent="0.3">
      <c r="A265" t="s">
        <v>2309</v>
      </c>
      <c r="B265">
        <v>264</v>
      </c>
      <c r="C265" t="s">
        <v>1534</v>
      </c>
      <c r="D265">
        <v>62</v>
      </c>
      <c r="E265" s="21">
        <v>72338</v>
      </c>
      <c r="F265" s="21">
        <v>1276168</v>
      </c>
      <c r="G265">
        <v>8.4000000000000005E-2</v>
      </c>
      <c r="H265">
        <v>20</v>
      </c>
      <c r="I265">
        <v>686</v>
      </c>
      <c r="J265">
        <v>11</v>
      </c>
      <c r="K265" s="21">
        <v>27582</v>
      </c>
    </row>
    <row r="266" spans="1:11" x14ac:dyDescent="0.3">
      <c r="A266" t="s">
        <v>2309</v>
      </c>
      <c r="B266">
        <v>265</v>
      </c>
      <c r="C266" t="s">
        <v>1535</v>
      </c>
      <c r="D266">
        <v>60</v>
      </c>
      <c r="E266" s="21">
        <v>73364</v>
      </c>
      <c r="F266" s="21">
        <v>2456792</v>
      </c>
      <c r="G266">
        <v>8.3000000000000004E-2</v>
      </c>
      <c r="H266">
        <v>15</v>
      </c>
      <c r="I266">
        <v>819</v>
      </c>
      <c r="J266">
        <v>2</v>
      </c>
      <c r="K266" s="21">
        <v>17960</v>
      </c>
    </row>
    <row r="267" spans="1:11" x14ac:dyDescent="0.3">
      <c r="A267" t="s">
        <v>2309</v>
      </c>
      <c r="B267">
        <v>266</v>
      </c>
      <c r="C267" t="s">
        <v>1536</v>
      </c>
      <c r="D267">
        <v>49</v>
      </c>
      <c r="E267" s="21">
        <v>25297</v>
      </c>
      <c r="F267" s="21">
        <v>2191977</v>
      </c>
      <c r="G267">
        <v>9.8000000000000004E-2</v>
      </c>
      <c r="H267">
        <v>30</v>
      </c>
      <c r="I267">
        <v>673</v>
      </c>
      <c r="J267">
        <v>5</v>
      </c>
      <c r="K267" s="21">
        <v>20785</v>
      </c>
    </row>
    <row r="268" spans="1:11" x14ac:dyDescent="0.3">
      <c r="A268" t="s">
        <v>2309</v>
      </c>
      <c r="B268">
        <v>267</v>
      </c>
      <c r="C268" t="s">
        <v>1537</v>
      </c>
      <c r="D268">
        <v>59</v>
      </c>
      <c r="E268" s="21">
        <v>41447</v>
      </c>
      <c r="F268" s="21">
        <v>2465191</v>
      </c>
      <c r="G268">
        <v>0.108</v>
      </c>
      <c r="H268">
        <v>10</v>
      </c>
      <c r="I268">
        <v>751</v>
      </c>
      <c r="J268">
        <v>15</v>
      </c>
      <c r="K268" s="21">
        <v>43839</v>
      </c>
    </row>
    <row r="269" spans="1:11" x14ac:dyDescent="0.3">
      <c r="A269" t="s">
        <v>2309</v>
      </c>
      <c r="B269">
        <v>268</v>
      </c>
      <c r="C269" t="s">
        <v>1538</v>
      </c>
      <c r="D269">
        <v>32</v>
      </c>
      <c r="E269" s="21">
        <v>81959</v>
      </c>
      <c r="F269" s="21">
        <v>2033737</v>
      </c>
      <c r="G269">
        <v>0.10299999999999999</v>
      </c>
      <c r="H269">
        <v>10</v>
      </c>
      <c r="I269">
        <v>680</v>
      </c>
      <c r="J269">
        <v>1</v>
      </c>
      <c r="K269" s="21">
        <v>12069</v>
      </c>
    </row>
    <row r="270" spans="1:11" x14ac:dyDescent="0.3">
      <c r="A270" t="s">
        <v>2309</v>
      </c>
      <c r="B270">
        <v>269</v>
      </c>
      <c r="C270" t="s">
        <v>1539</v>
      </c>
      <c r="D270">
        <v>51</v>
      </c>
      <c r="E270" s="21">
        <v>114809</v>
      </c>
      <c r="F270" s="21">
        <v>580669</v>
      </c>
      <c r="G270">
        <v>9.0999999999999998E-2</v>
      </c>
      <c r="H270">
        <v>10</v>
      </c>
      <c r="I270">
        <v>699</v>
      </c>
      <c r="J270">
        <v>4</v>
      </c>
      <c r="K270" s="21">
        <v>49399</v>
      </c>
    </row>
    <row r="271" spans="1:11" x14ac:dyDescent="0.3">
      <c r="A271" t="s">
        <v>2309</v>
      </c>
      <c r="B271">
        <v>270</v>
      </c>
      <c r="C271" t="s">
        <v>1540</v>
      </c>
      <c r="D271">
        <v>39</v>
      </c>
      <c r="E271" s="21">
        <v>40283</v>
      </c>
      <c r="F271" s="21">
        <v>1155980</v>
      </c>
      <c r="G271">
        <v>8.5999999999999993E-2</v>
      </c>
      <c r="H271">
        <v>20</v>
      </c>
      <c r="I271">
        <v>710</v>
      </c>
      <c r="J271">
        <v>4</v>
      </c>
      <c r="K271" s="21">
        <v>4889</v>
      </c>
    </row>
    <row r="272" spans="1:11" x14ac:dyDescent="0.3">
      <c r="A272" t="s">
        <v>2309</v>
      </c>
      <c r="B272">
        <v>271</v>
      </c>
      <c r="C272" t="s">
        <v>1541</v>
      </c>
      <c r="D272">
        <v>22</v>
      </c>
      <c r="E272" s="21">
        <v>75232</v>
      </c>
      <c r="F272" s="21">
        <v>1075983</v>
      </c>
      <c r="G272">
        <v>9.4E-2</v>
      </c>
      <c r="H272">
        <v>10</v>
      </c>
      <c r="I272">
        <v>614</v>
      </c>
      <c r="J272">
        <v>10</v>
      </c>
      <c r="K272" s="21">
        <v>23300</v>
      </c>
    </row>
    <row r="273" spans="1:11" x14ac:dyDescent="0.3">
      <c r="A273" t="s">
        <v>2309</v>
      </c>
      <c r="B273">
        <v>272</v>
      </c>
      <c r="C273" t="s">
        <v>1542</v>
      </c>
      <c r="D273">
        <v>45</v>
      </c>
      <c r="E273" s="21">
        <v>55728</v>
      </c>
      <c r="F273" s="21">
        <v>803217</v>
      </c>
      <c r="G273">
        <v>0.1</v>
      </c>
      <c r="H273">
        <v>10</v>
      </c>
      <c r="I273">
        <v>710</v>
      </c>
      <c r="J273">
        <v>5</v>
      </c>
      <c r="K273" s="21">
        <v>49042</v>
      </c>
    </row>
    <row r="274" spans="1:11" x14ac:dyDescent="0.3">
      <c r="A274" t="s">
        <v>2309</v>
      </c>
      <c r="B274">
        <v>273</v>
      </c>
      <c r="C274" t="s">
        <v>1543</v>
      </c>
      <c r="D274">
        <v>28</v>
      </c>
      <c r="E274" s="21">
        <v>89319</v>
      </c>
      <c r="F274" s="21">
        <v>549013</v>
      </c>
      <c r="G274">
        <v>0.10299999999999999</v>
      </c>
      <c r="H274">
        <v>20</v>
      </c>
      <c r="I274">
        <v>698</v>
      </c>
      <c r="J274">
        <v>4</v>
      </c>
      <c r="K274" s="21">
        <v>48196</v>
      </c>
    </row>
    <row r="275" spans="1:11" x14ac:dyDescent="0.3">
      <c r="A275" t="s">
        <v>2309</v>
      </c>
      <c r="B275">
        <v>274</v>
      </c>
      <c r="C275" t="s">
        <v>1544</v>
      </c>
      <c r="D275">
        <v>20</v>
      </c>
      <c r="E275" s="21">
        <v>110355</v>
      </c>
      <c r="F275" s="21">
        <v>1604460</v>
      </c>
      <c r="G275">
        <v>8.2000000000000003E-2</v>
      </c>
      <c r="H275">
        <v>15</v>
      </c>
      <c r="I275">
        <v>790</v>
      </c>
      <c r="J275">
        <v>2</v>
      </c>
      <c r="K275" s="21">
        <v>18524</v>
      </c>
    </row>
    <row r="276" spans="1:11" x14ac:dyDescent="0.3">
      <c r="A276" t="s">
        <v>2309</v>
      </c>
      <c r="B276">
        <v>275</v>
      </c>
      <c r="C276" t="s">
        <v>1545</v>
      </c>
      <c r="D276">
        <v>35</v>
      </c>
      <c r="E276" s="21">
        <v>93381</v>
      </c>
      <c r="F276" s="21">
        <v>1098005</v>
      </c>
      <c r="G276">
        <v>0.115</v>
      </c>
      <c r="H276">
        <v>20</v>
      </c>
      <c r="I276">
        <v>660</v>
      </c>
      <c r="J276">
        <v>13</v>
      </c>
      <c r="K276" s="21">
        <v>17294</v>
      </c>
    </row>
    <row r="277" spans="1:11" x14ac:dyDescent="0.3">
      <c r="A277" t="s">
        <v>2309</v>
      </c>
      <c r="B277">
        <v>276</v>
      </c>
      <c r="C277" t="s">
        <v>1546</v>
      </c>
      <c r="D277">
        <v>58</v>
      </c>
      <c r="E277" s="21">
        <v>22303</v>
      </c>
      <c r="F277" s="21">
        <v>992772</v>
      </c>
      <c r="G277">
        <v>8.8999999999999996E-2</v>
      </c>
      <c r="H277">
        <v>25</v>
      </c>
      <c r="I277">
        <v>690</v>
      </c>
      <c r="J277">
        <v>8</v>
      </c>
      <c r="K277" s="21">
        <v>22607</v>
      </c>
    </row>
    <row r="278" spans="1:11" x14ac:dyDescent="0.3">
      <c r="A278" t="s">
        <v>2309</v>
      </c>
      <c r="B278">
        <v>277</v>
      </c>
      <c r="C278" t="s">
        <v>1547</v>
      </c>
      <c r="D278">
        <v>54</v>
      </c>
      <c r="E278" s="21">
        <v>76448</v>
      </c>
      <c r="F278" s="21">
        <v>2153231</v>
      </c>
      <c r="G278">
        <v>9.6000000000000002E-2</v>
      </c>
      <c r="H278">
        <v>25</v>
      </c>
      <c r="I278">
        <v>640</v>
      </c>
      <c r="J278">
        <v>5</v>
      </c>
      <c r="K278" s="21">
        <v>3765</v>
      </c>
    </row>
    <row r="279" spans="1:11" x14ac:dyDescent="0.3">
      <c r="A279" t="s">
        <v>2309</v>
      </c>
      <c r="B279">
        <v>278</v>
      </c>
      <c r="C279" t="s">
        <v>1548</v>
      </c>
      <c r="D279">
        <v>43</v>
      </c>
      <c r="E279" s="21">
        <v>24498</v>
      </c>
      <c r="F279" s="21">
        <v>986774</v>
      </c>
      <c r="G279">
        <v>0.107</v>
      </c>
      <c r="H279">
        <v>15</v>
      </c>
      <c r="I279">
        <v>641</v>
      </c>
      <c r="J279">
        <v>2</v>
      </c>
      <c r="K279" s="21">
        <v>27645</v>
      </c>
    </row>
    <row r="280" spans="1:11" x14ac:dyDescent="0.3">
      <c r="A280" t="s">
        <v>2309</v>
      </c>
      <c r="B280">
        <v>279</v>
      </c>
      <c r="C280" t="s">
        <v>1549</v>
      </c>
      <c r="D280">
        <v>55</v>
      </c>
      <c r="E280" s="21">
        <v>72950</v>
      </c>
      <c r="F280" s="21">
        <v>1270265</v>
      </c>
      <c r="G280">
        <v>0.1</v>
      </c>
      <c r="H280">
        <v>30</v>
      </c>
      <c r="I280">
        <v>822</v>
      </c>
      <c r="J280">
        <v>8</v>
      </c>
      <c r="K280" s="21">
        <v>20936</v>
      </c>
    </row>
    <row r="281" spans="1:11" x14ac:dyDescent="0.3">
      <c r="A281" t="s">
        <v>2309</v>
      </c>
      <c r="B281">
        <v>280</v>
      </c>
      <c r="C281" t="s">
        <v>1550</v>
      </c>
      <c r="D281">
        <v>62</v>
      </c>
      <c r="E281" s="21">
        <v>31448</v>
      </c>
      <c r="F281" s="21">
        <v>2405664</v>
      </c>
      <c r="G281">
        <v>9.0999999999999998E-2</v>
      </c>
      <c r="H281">
        <v>15</v>
      </c>
      <c r="I281">
        <v>605</v>
      </c>
      <c r="J281">
        <v>4</v>
      </c>
      <c r="K281" s="21">
        <v>8338</v>
      </c>
    </row>
    <row r="282" spans="1:11" x14ac:dyDescent="0.3">
      <c r="A282" t="s">
        <v>2309</v>
      </c>
      <c r="B282">
        <v>281</v>
      </c>
      <c r="C282" t="s">
        <v>1551</v>
      </c>
      <c r="D282">
        <v>45</v>
      </c>
      <c r="E282" s="21">
        <v>54102</v>
      </c>
      <c r="F282" s="21">
        <v>2356705</v>
      </c>
      <c r="G282">
        <v>0.11899999999999999</v>
      </c>
      <c r="H282">
        <v>10</v>
      </c>
      <c r="I282">
        <v>647</v>
      </c>
      <c r="J282">
        <v>12</v>
      </c>
      <c r="K282" s="21">
        <v>13506</v>
      </c>
    </row>
    <row r="283" spans="1:11" x14ac:dyDescent="0.3">
      <c r="A283" t="s">
        <v>2309</v>
      </c>
      <c r="B283">
        <v>282</v>
      </c>
      <c r="C283" t="s">
        <v>1552</v>
      </c>
      <c r="D283">
        <v>25</v>
      </c>
      <c r="E283" s="21">
        <v>65952</v>
      </c>
      <c r="F283" s="21">
        <v>2170097</v>
      </c>
      <c r="G283">
        <v>0.114</v>
      </c>
      <c r="H283">
        <v>20</v>
      </c>
      <c r="I283">
        <v>849</v>
      </c>
      <c r="J283">
        <v>0</v>
      </c>
      <c r="K283" s="21">
        <v>23653</v>
      </c>
    </row>
    <row r="284" spans="1:11" x14ac:dyDescent="0.3">
      <c r="A284" t="s">
        <v>2309</v>
      </c>
      <c r="B284">
        <v>283</v>
      </c>
      <c r="C284" t="s">
        <v>1553</v>
      </c>
      <c r="D284">
        <v>53</v>
      </c>
      <c r="E284" s="21">
        <v>26242</v>
      </c>
      <c r="F284" s="21">
        <v>1305033</v>
      </c>
      <c r="G284">
        <v>9.8000000000000004E-2</v>
      </c>
      <c r="H284">
        <v>25</v>
      </c>
      <c r="I284">
        <v>620</v>
      </c>
      <c r="J284">
        <v>8</v>
      </c>
      <c r="K284" s="21">
        <v>37306</v>
      </c>
    </row>
    <row r="285" spans="1:11" x14ac:dyDescent="0.3">
      <c r="A285" t="s">
        <v>2309</v>
      </c>
      <c r="B285">
        <v>284</v>
      </c>
      <c r="C285" t="s">
        <v>1554</v>
      </c>
      <c r="D285">
        <v>47</v>
      </c>
      <c r="E285" s="21">
        <v>56543</v>
      </c>
      <c r="F285" s="21">
        <v>1078739</v>
      </c>
      <c r="G285">
        <v>0.1</v>
      </c>
      <c r="H285">
        <v>20</v>
      </c>
      <c r="I285">
        <v>680</v>
      </c>
      <c r="J285">
        <v>12</v>
      </c>
      <c r="K285" s="21">
        <v>19620</v>
      </c>
    </row>
    <row r="286" spans="1:11" x14ac:dyDescent="0.3">
      <c r="A286" t="s">
        <v>2309</v>
      </c>
      <c r="B286">
        <v>285</v>
      </c>
      <c r="C286" t="s">
        <v>1555</v>
      </c>
      <c r="D286">
        <v>22</v>
      </c>
      <c r="E286" s="21">
        <v>113105</v>
      </c>
      <c r="F286" s="21">
        <v>813339</v>
      </c>
      <c r="G286">
        <v>0.08</v>
      </c>
      <c r="H286">
        <v>15</v>
      </c>
      <c r="I286">
        <v>724</v>
      </c>
      <c r="J286">
        <v>6</v>
      </c>
      <c r="K286" s="21">
        <v>21044</v>
      </c>
    </row>
    <row r="287" spans="1:11" x14ac:dyDescent="0.3">
      <c r="A287" t="s">
        <v>2309</v>
      </c>
      <c r="B287">
        <v>286</v>
      </c>
      <c r="C287" t="s">
        <v>1556</v>
      </c>
      <c r="D287">
        <v>56</v>
      </c>
      <c r="E287" s="21">
        <v>17561</v>
      </c>
      <c r="F287" s="21">
        <v>1096865</v>
      </c>
      <c r="G287">
        <v>8.6999999999999994E-2</v>
      </c>
      <c r="H287">
        <v>25</v>
      </c>
      <c r="I287">
        <v>849</v>
      </c>
      <c r="J287">
        <v>2</v>
      </c>
      <c r="K287" s="21">
        <v>13776</v>
      </c>
    </row>
    <row r="288" spans="1:11" x14ac:dyDescent="0.3">
      <c r="A288" t="s">
        <v>2309</v>
      </c>
      <c r="B288">
        <v>287</v>
      </c>
      <c r="C288" t="s">
        <v>1557</v>
      </c>
      <c r="D288">
        <v>58</v>
      </c>
      <c r="E288" s="21">
        <v>68028</v>
      </c>
      <c r="F288" s="21">
        <v>2082167</v>
      </c>
      <c r="G288">
        <v>0.104</v>
      </c>
      <c r="H288">
        <v>25</v>
      </c>
      <c r="I288">
        <v>712</v>
      </c>
      <c r="J288">
        <v>13</v>
      </c>
      <c r="K288" s="21">
        <v>34132</v>
      </c>
    </row>
    <row r="289" spans="1:11" x14ac:dyDescent="0.3">
      <c r="A289" t="s">
        <v>2309</v>
      </c>
      <c r="B289">
        <v>288</v>
      </c>
      <c r="C289" t="s">
        <v>1558</v>
      </c>
      <c r="D289">
        <v>25</v>
      </c>
      <c r="E289" s="21">
        <v>21515</v>
      </c>
      <c r="F289" s="21">
        <v>2286010</v>
      </c>
      <c r="G289">
        <v>0.1</v>
      </c>
      <c r="H289">
        <v>30</v>
      </c>
      <c r="I289">
        <v>818</v>
      </c>
      <c r="J289">
        <v>5</v>
      </c>
      <c r="K289" s="21">
        <v>32774</v>
      </c>
    </row>
    <row r="290" spans="1:11" x14ac:dyDescent="0.3">
      <c r="A290" t="s">
        <v>2309</v>
      </c>
      <c r="B290">
        <v>289</v>
      </c>
      <c r="C290" t="s">
        <v>1559</v>
      </c>
      <c r="D290">
        <v>65</v>
      </c>
      <c r="E290" s="21">
        <v>95054</v>
      </c>
      <c r="F290" s="21">
        <v>1277411</v>
      </c>
      <c r="G290">
        <v>0.113</v>
      </c>
      <c r="H290">
        <v>25</v>
      </c>
      <c r="I290">
        <v>700</v>
      </c>
      <c r="J290">
        <v>7</v>
      </c>
      <c r="K290" s="21">
        <v>43581</v>
      </c>
    </row>
    <row r="291" spans="1:11" x14ac:dyDescent="0.3">
      <c r="A291" t="s">
        <v>2309</v>
      </c>
      <c r="B291">
        <v>290</v>
      </c>
      <c r="C291" t="s">
        <v>1560</v>
      </c>
      <c r="D291">
        <v>46</v>
      </c>
      <c r="E291" s="21">
        <v>86754</v>
      </c>
      <c r="F291" s="21">
        <v>2276193</v>
      </c>
      <c r="G291">
        <v>0.112</v>
      </c>
      <c r="H291">
        <v>30</v>
      </c>
      <c r="I291">
        <v>720</v>
      </c>
      <c r="J291">
        <v>6</v>
      </c>
      <c r="K291" s="21">
        <v>9989</v>
      </c>
    </row>
    <row r="292" spans="1:11" x14ac:dyDescent="0.3">
      <c r="A292" t="s">
        <v>2309</v>
      </c>
      <c r="B292">
        <v>291</v>
      </c>
      <c r="C292" t="s">
        <v>1561</v>
      </c>
      <c r="D292">
        <v>38</v>
      </c>
      <c r="E292" s="21">
        <v>18836</v>
      </c>
      <c r="F292" s="21">
        <v>2399542</v>
      </c>
      <c r="G292">
        <v>0.108</v>
      </c>
      <c r="H292">
        <v>15</v>
      </c>
      <c r="I292">
        <v>638</v>
      </c>
      <c r="J292">
        <v>7</v>
      </c>
      <c r="K292" s="21">
        <v>23696</v>
      </c>
    </row>
    <row r="293" spans="1:11" x14ac:dyDescent="0.3">
      <c r="A293" t="s">
        <v>2309</v>
      </c>
      <c r="B293">
        <v>292</v>
      </c>
      <c r="C293" t="s">
        <v>1562</v>
      </c>
      <c r="D293">
        <v>63</v>
      </c>
      <c r="E293" s="21">
        <v>94920</v>
      </c>
      <c r="F293" s="21">
        <v>2424798</v>
      </c>
      <c r="G293">
        <v>0.11700000000000001</v>
      </c>
      <c r="H293">
        <v>15</v>
      </c>
      <c r="I293">
        <v>656</v>
      </c>
      <c r="J293">
        <v>2</v>
      </c>
      <c r="K293" s="21">
        <v>10873</v>
      </c>
    </row>
    <row r="294" spans="1:11" x14ac:dyDescent="0.3">
      <c r="A294" t="s">
        <v>2309</v>
      </c>
      <c r="B294">
        <v>293</v>
      </c>
      <c r="C294" t="s">
        <v>1563</v>
      </c>
      <c r="D294">
        <v>51</v>
      </c>
      <c r="E294" s="21">
        <v>114213</v>
      </c>
      <c r="F294" s="21">
        <v>2297176</v>
      </c>
      <c r="G294">
        <v>8.4000000000000005E-2</v>
      </c>
      <c r="H294">
        <v>30</v>
      </c>
      <c r="I294">
        <v>639</v>
      </c>
      <c r="J294">
        <v>2</v>
      </c>
      <c r="K294" s="21">
        <v>33311</v>
      </c>
    </row>
    <row r="295" spans="1:11" x14ac:dyDescent="0.3">
      <c r="A295" t="s">
        <v>2309</v>
      </c>
      <c r="B295">
        <v>294</v>
      </c>
      <c r="C295" t="s">
        <v>1564</v>
      </c>
      <c r="D295">
        <v>26</v>
      </c>
      <c r="E295" s="21">
        <v>119682</v>
      </c>
      <c r="F295" s="21">
        <v>1705093</v>
      </c>
      <c r="G295">
        <v>9.4E-2</v>
      </c>
      <c r="H295">
        <v>20</v>
      </c>
      <c r="I295">
        <v>741</v>
      </c>
      <c r="J295">
        <v>1</v>
      </c>
      <c r="K295" s="21">
        <v>1985</v>
      </c>
    </row>
    <row r="296" spans="1:11" x14ac:dyDescent="0.3">
      <c r="A296" t="s">
        <v>2309</v>
      </c>
      <c r="B296">
        <v>295</v>
      </c>
      <c r="C296" t="s">
        <v>1565</v>
      </c>
      <c r="D296">
        <v>58</v>
      </c>
      <c r="E296" s="21">
        <v>114992</v>
      </c>
      <c r="F296" s="21">
        <v>1724857</v>
      </c>
      <c r="G296">
        <v>0.09</v>
      </c>
      <c r="H296">
        <v>25</v>
      </c>
      <c r="I296">
        <v>745</v>
      </c>
      <c r="J296">
        <v>7</v>
      </c>
      <c r="K296" s="21">
        <v>38628</v>
      </c>
    </row>
    <row r="297" spans="1:11" x14ac:dyDescent="0.3">
      <c r="A297" t="s">
        <v>2309</v>
      </c>
      <c r="B297">
        <v>296</v>
      </c>
      <c r="C297" t="s">
        <v>1566</v>
      </c>
      <c r="D297">
        <v>64</v>
      </c>
      <c r="E297" s="21">
        <v>17200</v>
      </c>
      <c r="F297" s="21">
        <v>2082419</v>
      </c>
      <c r="G297">
        <v>9.0999999999999998E-2</v>
      </c>
      <c r="H297">
        <v>30</v>
      </c>
      <c r="I297">
        <v>719</v>
      </c>
      <c r="J297">
        <v>4</v>
      </c>
      <c r="K297" s="21">
        <v>24510</v>
      </c>
    </row>
    <row r="298" spans="1:11" x14ac:dyDescent="0.3">
      <c r="A298" t="s">
        <v>2309</v>
      </c>
      <c r="B298">
        <v>297</v>
      </c>
      <c r="C298" t="s">
        <v>1567</v>
      </c>
      <c r="D298">
        <v>28</v>
      </c>
      <c r="E298" s="21">
        <v>32367</v>
      </c>
      <c r="F298" s="21">
        <v>1236308</v>
      </c>
      <c r="G298">
        <v>8.7999999999999995E-2</v>
      </c>
      <c r="H298">
        <v>10</v>
      </c>
      <c r="I298">
        <v>812</v>
      </c>
      <c r="J298">
        <v>0</v>
      </c>
      <c r="K298" s="21">
        <v>10763</v>
      </c>
    </row>
    <row r="299" spans="1:11" x14ac:dyDescent="0.3">
      <c r="A299" t="s">
        <v>2309</v>
      </c>
      <c r="B299">
        <v>298</v>
      </c>
      <c r="C299" t="s">
        <v>1568</v>
      </c>
      <c r="D299">
        <v>29</v>
      </c>
      <c r="E299" s="21">
        <v>62936</v>
      </c>
      <c r="F299" s="21">
        <v>1264433</v>
      </c>
      <c r="G299">
        <v>8.3000000000000004E-2</v>
      </c>
      <c r="H299">
        <v>10</v>
      </c>
      <c r="I299">
        <v>832</v>
      </c>
      <c r="J299">
        <v>11</v>
      </c>
      <c r="K299" s="21">
        <v>22479</v>
      </c>
    </row>
    <row r="300" spans="1:11" x14ac:dyDescent="0.3">
      <c r="A300" t="s">
        <v>2309</v>
      </c>
      <c r="B300">
        <v>299</v>
      </c>
      <c r="C300" t="s">
        <v>1569</v>
      </c>
      <c r="D300">
        <v>49</v>
      </c>
      <c r="E300" s="21">
        <v>39695</v>
      </c>
      <c r="F300" s="21">
        <v>733692</v>
      </c>
      <c r="G300">
        <v>0.105</v>
      </c>
      <c r="H300">
        <v>25</v>
      </c>
      <c r="I300">
        <v>827</v>
      </c>
      <c r="J300">
        <v>7</v>
      </c>
      <c r="K300" s="21">
        <v>22285</v>
      </c>
    </row>
    <row r="301" spans="1:11" x14ac:dyDescent="0.3">
      <c r="A301" t="s">
        <v>2309</v>
      </c>
      <c r="B301">
        <v>300</v>
      </c>
      <c r="C301" t="s">
        <v>1570</v>
      </c>
      <c r="D301">
        <v>60</v>
      </c>
      <c r="E301" s="21">
        <v>28552</v>
      </c>
      <c r="F301" s="21">
        <v>1858382</v>
      </c>
      <c r="G301">
        <v>9.2999999999999999E-2</v>
      </c>
      <c r="H301">
        <v>20</v>
      </c>
      <c r="I301">
        <v>626</v>
      </c>
      <c r="J301">
        <v>3</v>
      </c>
      <c r="K301" s="21">
        <v>13914</v>
      </c>
    </row>
    <row r="302" spans="1:11" x14ac:dyDescent="0.3">
      <c r="A302" t="s">
        <v>2309</v>
      </c>
      <c r="B302">
        <v>301</v>
      </c>
      <c r="C302" t="s">
        <v>1571</v>
      </c>
      <c r="D302">
        <v>43</v>
      </c>
      <c r="E302" s="21">
        <v>70860</v>
      </c>
      <c r="F302" s="21">
        <v>1456653</v>
      </c>
      <c r="G302">
        <v>0.10299999999999999</v>
      </c>
      <c r="H302">
        <v>15</v>
      </c>
      <c r="I302">
        <v>605</v>
      </c>
      <c r="J302">
        <v>6</v>
      </c>
      <c r="K302" s="21">
        <v>33092</v>
      </c>
    </row>
    <row r="303" spans="1:11" x14ac:dyDescent="0.3">
      <c r="A303" t="s">
        <v>2309</v>
      </c>
      <c r="B303">
        <v>302</v>
      </c>
      <c r="C303" t="s">
        <v>1572</v>
      </c>
      <c r="D303">
        <v>36</v>
      </c>
      <c r="E303" s="21">
        <v>68705</v>
      </c>
      <c r="F303" s="21">
        <v>1046461</v>
      </c>
      <c r="G303">
        <v>0.11899999999999999</v>
      </c>
      <c r="H303">
        <v>25</v>
      </c>
      <c r="I303">
        <v>695</v>
      </c>
      <c r="J303">
        <v>2</v>
      </c>
      <c r="K303" s="21">
        <v>29801</v>
      </c>
    </row>
    <row r="304" spans="1:11" x14ac:dyDescent="0.3">
      <c r="A304" t="s">
        <v>2309</v>
      </c>
      <c r="B304">
        <v>303</v>
      </c>
      <c r="C304" t="s">
        <v>1573</v>
      </c>
      <c r="D304">
        <v>26</v>
      </c>
      <c r="E304" s="21">
        <v>31906</v>
      </c>
      <c r="F304" s="21">
        <v>1769528</v>
      </c>
      <c r="G304">
        <v>9.6000000000000002E-2</v>
      </c>
      <c r="H304">
        <v>15</v>
      </c>
      <c r="I304">
        <v>745</v>
      </c>
      <c r="J304">
        <v>1</v>
      </c>
      <c r="K304" s="21">
        <v>45612</v>
      </c>
    </row>
    <row r="305" spans="1:11" x14ac:dyDescent="0.3">
      <c r="A305" t="s">
        <v>2309</v>
      </c>
      <c r="B305">
        <v>304</v>
      </c>
      <c r="C305" t="s">
        <v>1574</v>
      </c>
      <c r="D305">
        <v>44</v>
      </c>
      <c r="E305" s="21">
        <v>112403</v>
      </c>
      <c r="F305" s="21">
        <v>1671335</v>
      </c>
      <c r="G305">
        <v>0.108</v>
      </c>
      <c r="H305">
        <v>25</v>
      </c>
      <c r="I305">
        <v>835</v>
      </c>
      <c r="J305">
        <v>3</v>
      </c>
      <c r="K305" s="21">
        <v>32171</v>
      </c>
    </row>
    <row r="306" spans="1:11" x14ac:dyDescent="0.3">
      <c r="A306" t="s">
        <v>2309</v>
      </c>
      <c r="B306">
        <v>305</v>
      </c>
      <c r="C306" t="s">
        <v>1575</v>
      </c>
      <c r="D306">
        <v>33</v>
      </c>
      <c r="E306" s="21">
        <v>100974</v>
      </c>
      <c r="F306" s="21">
        <v>1956606</v>
      </c>
      <c r="G306">
        <v>0.108</v>
      </c>
      <c r="H306">
        <v>10</v>
      </c>
      <c r="I306">
        <v>631</v>
      </c>
      <c r="J306">
        <v>10</v>
      </c>
      <c r="K306" s="21">
        <v>39578</v>
      </c>
    </row>
    <row r="307" spans="1:11" x14ac:dyDescent="0.3">
      <c r="A307" t="s">
        <v>2309</v>
      </c>
      <c r="B307">
        <v>306</v>
      </c>
      <c r="C307" t="s">
        <v>1576</v>
      </c>
      <c r="D307">
        <v>43</v>
      </c>
      <c r="E307" s="21">
        <v>68821</v>
      </c>
      <c r="F307" s="21">
        <v>744959</v>
      </c>
      <c r="G307">
        <v>0.10100000000000001</v>
      </c>
      <c r="H307">
        <v>20</v>
      </c>
      <c r="I307">
        <v>607</v>
      </c>
      <c r="J307">
        <v>9</v>
      </c>
      <c r="K307" s="21">
        <v>42848</v>
      </c>
    </row>
    <row r="308" spans="1:11" x14ac:dyDescent="0.3">
      <c r="A308" t="s">
        <v>2309</v>
      </c>
      <c r="B308">
        <v>307</v>
      </c>
      <c r="C308" t="s">
        <v>1577</v>
      </c>
      <c r="D308">
        <v>22</v>
      </c>
      <c r="E308" s="21">
        <v>75209</v>
      </c>
      <c r="F308" s="21">
        <v>1668993</v>
      </c>
      <c r="G308">
        <v>0.104</v>
      </c>
      <c r="H308">
        <v>10</v>
      </c>
      <c r="I308">
        <v>716</v>
      </c>
      <c r="J308">
        <v>1</v>
      </c>
      <c r="K308" s="21">
        <v>23767</v>
      </c>
    </row>
    <row r="309" spans="1:11" x14ac:dyDescent="0.3">
      <c r="A309" t="s">
        <v>2309</v>
      </c>
      <c r="B309">
        <v>308</v>
      </c>
      <c r="C309" t="s">
        <v>1578</v>
      </c>
      <c r="D309">
        <v>54</v>
      </c>
      <c r="E309" s="21">
        <v>27163</v>
      </c>
      <c r="F309" s="21">
        <v>1062592</v>
      </c>
      <c r="G309">
        <v>0.1</v>
      </c>
      <c r="H309">
        <v>30</v>
      </c>
      <c r="I309">
        <v>810</v>
      </c>
      <c r="J309">
        <v>3</v>
      </c>
      <c r="K309" s="21">
        <v>48926</v>
      </c>
    </row>
    <row r="310" spans="1:11" x14ac:dyDescent="0.3">
      <c r="A310" t="s">
        <v>2309</v>
      </c>
      <c r="B310">
        <v>309</v>
      </c>
      <c r="C310" t="s">
        <v>1579</v>
      </c>
      <c r="D310">
        <v>59</v>
      </c>
      <c r="E310" s="21">
        <v>35638</v>
      </c>
      <c r="F310" s="21">
        <v>1250219</v>
      </c>
      <c r="G310">
        <v>9.7000000000000003E-2</v>
      </c>
      <c r="H310">
        <v>25</v>
      </c>
      <c r="I310">
        <v>827</v>
      </c>
      <c r="J310">
        <v>6</v>
      </c>
      <c r="K310" s="21">
        <v>29066</v>
      </c>
    </row>
    <row r="311" spans="1:11" x14ac:dyDescent="0.3">
      <c r="A311" t="s">
        <v>2309</v>
      </c>
      <c r="B311">
        <v>310</v>
      </c>
      <c r="C311" t="s">
        <v>1580</v>
      </c>
      <c r="D311">
        <v>20</v>
      </c>
      <c r="E311" s="21">
        <v>75264</v>
      </c>
      <c r="F311" s="21">
        <v>1995418</v>
      </c>
      <c r="G311">
        <v>8.1000000000000003E-2</v>
      </c>
      <c r="H311">
        <v>30</v>
      </c>
      <c r="I311">
        <v>742</v>
      </c>
      <c r="J311">
        <v>8</v>
      </c>
      <c r="K311" s="21">
        <v>13117</v>
      </c>
    </row>
    <row r="312" spans="1:11" x14ac:dyDescent="0.3">
      <c r="A312" t="s">
        <v>2309</v>
      </c>
      <c r="B312">
        <v>311</v>
      </c>
      <c r="C312" t="s">
        <v>1581</v>
      </c>
      <c r="D312">
        <v>41</v>
      </c>
      <c r="E312" s="21">
        <v>112631</v>
      </c>
      <c r="F312" s="21">
        <v>2238438</v>
      </c>
      <c r="G312">
        <v>0.114</v>
      </c>
      <c r="H312">
        <v>30</v>
      </c>
      <c r="I312">
        <v>782</v>
      </c>
      <c r="J312">
        <v>15</v>
      </c>
      <c r="K312" s="21">
        <v>47049</v>
      </c>
    </row>
    <row r="313" spans="1:11" x14ac:dyDescent="0.3">
      <c r="A313" t="s">
        <v>2309</v>
      </c>
      <c r="B313">
        <v>312</v>
      </c>
      <c r="C313" t="s">
        <v>1582</v>
      </c>
      <c r="D313">
        <v>49</v>
      </c>
      <c r="E313" s="21">
        <v>54378</v>
      </c>
      <c r="F313" s="21">
        <v>2421491</v>
      </c>
      <c r="G313">
        <v>9.0999999999999998E-2</v>
      </c>
      <c r="H313">
        <v>30</v>
      </c>
      <c r="I313">
        <v>782</v>
      </c>
      <c r="J313">
        <v>14</v>
      </c>
      <c r="K313" s="21">
        <v>19512</v>
      </c>
    </row>
    <row r="314" spans="1:11" x14ac:dyDescent="0.3">
      <c r="A314" t="s">
        <v>2309</v>
      </c>
      <c r="B314">
        <v>313</v>
      </c>
      <c r="C314" t="s">
        <v>1583</v>
      </c>
      <c r="D314">
        <v>46</v>
      </c>
      <c r="E314" s="21">
        <v>65677</v>
      </c>
      <c r="F314" s="21">
        <v>1176457</v>
      </c>
      <c r="G314">
        <v>8.4000000000000005E-2</v>
      </c>
      <c r="H314">
        <v>10</v>
      </c>
      <c r="I314">
        <v>661</v>
      </c>
      <c r="J314">
        <v>11</v>
      </c>
      <c r="K314" s="21">
        <v>12515</v>
      </c>
    </row>
    <row r="315" spans="1:11" x14ac:dyDescent="0.3">
      <c r="A315" t="s">
        <v>2309</v>
      </c>
      <c r="B315">
        <v>314</v>
      </c>
      <c r="C315" t="s">
        <v>1584</v>
      </c>
      <c r="D315">
        <v>35</v>
      </c>
      <c r="E315" s="21">
        <v>50346</v>
      </c>
      <c r="F315" s="21">
        <v>1241244</v>
      </c>
      <c r="G315">
        <v>0.115</v>
      </c>
      <c r="H315">
        <v>15</v>
      </c>
      <c r="I315">
        <v>694</v>
      </c>
      <c r="J315">
        <v>15</v>
      </c>
      <c r="K315" s="21">
        <v>33635</v>
      </c>
    </row>
    <row r="316" spans="1:11" x14ac:dyDescent="0.3">
      <c r="A316" t="s">
        <v>2309</v>
      </c>
      <c r="B316">
        <v>315</v>
      </c>
      <c r="C316" t="s">
        <v>1585</v>
      </c>
      <c r="D316">
        <v>46</v>
      </c>
      <c r="E316" s="21">
        <v>59285</v>
      </c>
      <c r="F316" s="21">
        <v>664608</v>
      </c>
      <c r="G316">
        <v>0.11</v>
      </c>
      <c r="H316">
        <v>10</v>
      </c>
      <c r="I316">
        <v>746</v>
      </c>
      <c r="J316">
        <v>1</v>
      </c>
      <c r="K316" s="21">
        <v>17088</v>
      </c>
    </row>
    <row r="317" spans="1:11" x14ac:dyDescent="0.3">
      <c r="A317" t="s">
        <v>2309</v>
      </c>
      <c r="B317">
        <v>316</v>
      </c>
      <c r="C317" t="s">
        <v>1586</v>
      </c>
      <c r="D317">
        <v>60</v>
      </c>
      <c r="E317" s="21">
        <v>67811</v>
      </c>
      <c r="F317" s="21">
        <v>2287152</v>
      </c>
      <c r="G317">
        <v>0.08</v>
      </c>
      <c r="H317">
        <v>30</v>
      </c>
      <c r="I317">
        <v>822</v>
      </c>
      <c r="J317">
        <v>1</v>
      </c>
      <c r="K317" s="21">
        <v>6657</v>
      </c>
    </row>
    <row r="318" spans="1:11" x14ac:dyDescent="0.3">
      <c r="A318" t="s">
        <v>2309</v>
      </c>
      <c r="B318">
        <v>317</v>
      </c>
      <c r="C318" t="s">
        <v>1587</v>
      </c>
      <c r="D318">
        <v>21</v>
      </c>
      <c r="E318" s="21">
        <v>15110</v>
      </c>
      <c r="F318" s="21">
        <v>1908850</v>
      </c>
      <c r="G318">
        <v>8.4000000000000005E-2</v>
      </c>
      <c r="H318">
        <v>30</v>
      </c>
      <c r="I318">
        <v>775</v>
      </c>
      <c r="J318">
        <v>12</v>
      </c>
      <c r="K318" s="21">
        <v>11122</v>
      </c>
    </row>
    <row r="319" spans="1:11" x14ac:dyDescent="0.3">
      <c r="A319" t="s">
        <v>2309</v>
      </c>
      <c r="B319">
        <v>318</v>
      </c>
      <c r="C319" t="s">
        <v>1588</v>
      </c>
      <c r="D319">
        <v>57</v>
      </c>
      <c r="E319" s="21">
        <v>118152</v>
      </c>
      <c r="F319" s="21">
        <v>1388537</v>
      </c>
      <c r="G319">
        <v>0.106</v>
      </c>
      <c r="H319">
        <v>15</v>
      </c>
      <c r="I319">
        <v>727</v>
      </c>
      <c r="J319">
        <v>8</v>
      </c>
      <c r="K319" s="21">
        <v>10043</v>
      </c>
    </row>
    <row r="320" spans="1:11" x14ac:dyDescent="0.3">
      <c r="A320" t="s">
        <v>2309</v>
      </c>
      <c r="B320">
        <v>319</v>
      </c>
      <c r="C320" t="s">
        <v>1589</v>
      </c>
      <c r="D320">
        <v>25</v>
      </c>
      <c r="E320" s="21">
        <v>118391</v>
      </c>
      <c r="F320" s="21">
        <v>1829469</v>
      </c>
      <c r="G320">
        <v>8.8999999999999996E-2</v>
      </c>
      <c r="H320">
        <v>10</v>
      </c>
      <c r="I320">
        <v>823</v>
      </c>
      <c r="J320">
        <v>9</v>
      </c>
      <c r="K320" s="21">
        <v>33004</v>
      </c>
    </row>
    <row r="321" spans="1:11" x14ac:dyDescent="0.3">
      <c r="A321" t="s">
        <v>2309</v>
      </c>
      <c r="B321">
        <v>320</v>
      </c>
      <c r="C321" t="s">
        <v>1590</v>
      </c>
      <c r="D321">
        <v>31</v>
      </c>
      <c r="E321" s="21">
        <v>54263</v>
      </c>
      <c r="F321" s="21">
        <v>2281881</v>
      </c>
      <c r="G321">
        <v>9.8000000000000004E-2</v>
      </c>
      <c r="H321">
        <v>15</v>
      </c>
      <c r="I321">
        <v>742</v>
      </c>
      <c r="J321">
        <v>14</v>
      </c>
      <c r="K321" s="21">
        <v>41565</v>
      </c>
    </row>
    <row r="322" spans="1:11" x14ac:dyDescent="0.3">
      <c r="A322" t="s">
        <v>2309</v>
      </c>
      <c r="B322">
        <v>321</v>
      </c>
      <c r="C322" t="s">
        <v>1591</v>
      </c>
      <c r="D322">
        <v>20</v>
      </c>
      <c r="E322" s="21">
        <v>82114</v>
      </c>
      <c r="F322" s="21">
        <v>1643131</v>
      </c>
      <c r="G322">
        <v>9.1999999999999998E-2</v>
      </c>
      <c r="H322">
        <v>10</v>
      </c>
      <c r="I322">
        <v>814</v>
      </c>
      <c r="J322">
        <v>12</v>
      </c>
      <c r="K322" s="21">
        <v>12519</v>
      </c>
    </row>
    <row r="323" spans="1:11" x14ac:dyDescent="0.3">
      <c r="A323" t="s">
        <v>2309</v>
      </c>
      <c r="B323">
        <v>322</v>
      </c>
      <c r="C323" t="s">
        <v>1592</v>
      </c>
      <c r="D323">
        <v>24</v>
      </c>
      <c r="E323" s="21">
        <v>66176</v>
      </c>
      <c r="F323" s="21">
        <v>871954</v>
      </c>
      <c r="G323">
        <v>0.11899999999999999</v>
      </c>
      <c r="H323">
        <v>20</v>
      </c>
      <c r="I323">
        <v>765</v>
      </c>
      <c r="J323">
        <v>2</v>
      </c>
      <c r="K323" s="21">
        <v>48795</v>
      </c>
    </row>
    <row r="324" spans="1:11" x14ac:dyDescent="0.3">
      <c r="A324" t="s">
        <v>2309</v>
      </c>
      <c r="B324">
        <v>323</v>
      </c>
      <c r="C324" t="s">
        <v>1593</v>
      </c>
      <c r="D324">
        <v>41</v>
      </c>
      <c r="E324" s="21">
        <v>89640</v>
      </c>
      <c r="F324" s="21">
        <v>1026886</v>
      </c>
      <c r="G324">
        <v>0.106</v>
      </c>
      <c r="H324">
        <v>20</v>
      </c>
      <c r="I324">
        <v>839</v>
      </c>
      <c r="J324">
        <v>5</v>
      </c>
      <c r="K324" s="21">
        <v>32327</v>
      </c>
    </row>
    <row r="325" spans="1:11" x14ac:dyDescent="0.3">
      <c r="A325" t="s">
        <v>2309</v>
      </c>
      <c r="B325">
        <v>324</v>
      </c>
      <c r="C325" t="s">
        <v>1594</v>
      </c>
      <c r="D325">
        <v>45</v>
      </c>
      <c r="E325" s="21">
        <v>110889</v>
      </c>
      <c r="F325" s="21">
        <v>697469</v>
      </c>
      <c r="G325">
        <v>0.11600000000000001</v>
      </c>
      <c r="H325">
        <v>10</v>
      </c>
      <c r="I325">
        <v>765</v>
      </c>
      <c r="J325">
        <v>14</v>
      </c>
      <c r="K325" s="21">
        <v>47616</v>
      </c>
    </row>
    <row r="326" spans="1:11" x14ac:dyDescent="0.3">
      <c r="A326" t="s">
        <v>2309</v>
      </c>
      <c r="B326">
        <v>325</v>
      </c>
      <c r="C326" t="s">
        <v>1595</v>
      </c>
      <c r="D326">
        <v>60</v>
      </c>
      <c r="E326" s="21">
        <v>66025</v>
      </c>
      <c r="F326" s="21">
        <v>1691874</v>
      </c>
      <c r="G326">
        <v>0.106</v>
      </c>
      <c r="H326">
        <v>25</v>
      </c>
      <c r="I326">
        <v>637</v>
      </c>
      <c r="J326">
        <v>6</v>
      </c>
      <c r="K326" s="21">
        <v>21291</v>
      </c>
    </row>
    <row r="327" spans="1:11" x14ac:dyDescent="0.3">
      <c r="A327" t="s">
        <v>2309</v>
      </c>
      <c r="B327">
        <v>326</v>
      </c>
      <c r="C327" t="s">
        <v>1596</v>
      </c>
      <c r="D327">
        <v>65</v>
      </c>
      <c r="E327" s="21">
        <v>82266</v>
      </c>
      <c r="F327" s="21">
        <v>2367412</v>
      </c>
      <c r="G327">
        <v>8.7999999999999995E-2</v>
      </c>
      <c r="H327">
        <v>15</v>
      </c>
      <c r="I327">
        <v>610</v>
      </c>
      <c r="J327">
        <v>15</v>
      </c>
      <c r="K327" s="21">
        <v>21389</v>
      </c>
    </row>
    <row r="328" spans="1:11" x14ac:dyDescent="0.3">
      <c r="A328" t="s">
        <v>2309</v>
      </c>
      <c r="B328">
        <v>327</v>
      </c>
      <c r="C328" t="s">
        <v>1597</v>
      </c>
      <c r="D328">
        <v>44</v>
      </c>
      <c r="E328" s="21">
        <v>41580</v>
      </c>
      <c r="F328" s="21">
        <v>949854</v>
      </c>
      <c r="G328">
        <v>0.11600000000000001</v>
      </c>
      <c r="H328">
        <v>10</v>
      </c>
      <c r="I328">
        <v>792</v>
      </c>
      <c r="J328">
        <v>11</v>
      </c>
      <c r="K328" s="21">
        <v>40731</v>
      </c>
    </row>
    <row r="329" spans="1:11" x14ac:dyDescent="0.3">
      <c r="A329" t="s">
        <v>2309</v>
      </c>
      <c r="B329">
        <v>328</v>
      </c>
      <c r="C329" t="s">
        <v>1598</v>
      </c>
      <c r="D329">
        <v>59</v>
      </c>
      <c r="E329" s="21">
        <v>69622</v>
      </c>
      <c r="F329" s="21">
        <v>790480</v>
      </c>
      <c r="G329">
        <v>0.1</v>
      </c>
      <c r="H329">
        <v>20</v>
      </c>
      <c r="I329">
        <v>753</v>
      </c>
      <c r="J329">
        <v>7</v>
      </c>
      <c r="K329" s="21">
        <v>396</v>
      </c>
    </row>
    <row r="330" spans="1:11" x14ac:dyDescent="0.3">
      <c r="A330" t="s">
        <v>2309</v>
      </c>
      <c r="B330">
        <v>329</v>
      </c>
      <c r="C330" t="s">
        <v>1599</v>
      </c>
      <c r="D330">
        <v>46</v>
      </c>
      <c r="E330" s="21">
        <v>48302</v>
      </c>
      <c r="F330" s="21">
        <v>1259586</v>
      </c>
      <c r="G330">
        <v>0.09</v>
      </c>
      <c r="H330">
        <v>20</v>
      </c>
      <c r="I330">
        <v>683</v>
      </c>
      <c r="J330">
        <v>0</v>
      </c>
      <c r="K330" s="21">
        <v>764</v>
      </c>
    </row>
    <row r="331" spans="1:11" x14ac:dyDescent="0.3">
      <c r="A331" t="s">
        <v>2309</v>
      </c>
      <c r="B331">
        <v>330</v>
      </c>
      <c r="C331" t="s">
        <v>1600</v>
      </c>
      <c r="D331">
        <v>60</v>
      </c>
      <c r="E331" s="21">
        <v>78722</v>
      </c>
      <c r="F331" s="21">
        <v>1216134</v>
      </c>
      <c r="G331">
        <v>0.09</v>
      </c>
      <c r="H331">
        <v>10</v>
      </c>
      <c r="I331">
        <v>732</v>
      </c>
      <c r="J331">
        <v>6</v>
      </c>
      <c r="K331" s="21">
        <v>34412</v>
      </c>
    </row>
    <row r="332" spans="1:11" x14ac:dyDescent="0.3">
      <c r="A332" t="s">
        <v>2309</v>
      </c>
      <c r="B332">
        <v>331</v>
      </c>
      <c r="C332" t="s">
        <v>1601</v>
      </c>
      <c r="D332">
        <v>56</v>
      </c>
      <c r="E332" s="21">
        <v>88195</v>
      </c>
      <c r="F332" s="21">
        <v>1650784</v>
      </c>
      <c r="G332">
        <v>0.11</v>
      </c>
      <c r="H332">
        <v>30</v>
      </c>
      <c r="I332">
        <v>844</v>
      </c>
      <c r="J332">
        <v>4</v>
      </c>
      <c r="K332" s="21">
        <v>34188</v>
      </c>
    </row>
    <row r="333" spans="1:11" x14ac:dyDescent="0.3">
      <c r="A333" t="s">
        <v>2309</v>
      </c>
      <c r="B333">
        <v>332</v>
      </c>
      <c r="C333" t="s">
        <v>1602</v>
      </c>
      <c r="D333">
        <v>39</v>
      </c>
      <c r="E333" s="21">
        <v>45425</v>
      </c>
      <c r="F333" s="21">
        <v>640690</v>
      </c>
      <c r="G333">
        <v>9.5000000000000001E-2</v>
      </c>
      <c r="H333">
        <v>15</v>
      </c>
      <c r="I333">
        <v>739</v>
      </c>
      <c r="J333">
        <v>6</v>
      </c>
      <c r="K333" s="21">
        <v>26059</v>
      </c>
    </row>
    <row r="334" spans="1:11" x14ac:dyDescent="0.3">
      <c r="A334" t="s">
        <v>2309</v>
      </c>
      <c r="B334">
        <v>333</v>
      </c>
      <c r="C334" t="s">
        <v>1603</v>
      </c>
      <c r="D334">
        <v>56</v>
      </c>
      <c r="E334" s="21">
        <v>28747</v>
      </c>
      <c r="F334" s="21">
        <v>654424</v>
      </c>
      <c r="G334">
        <v>9.2999999999999999E-2</v>
      </c>
      <c r="H334">
        <v>25</v>
      </c>
      <c r="I334">
        <v>633</v>
      </c>
      <c r="J334">
        <v>10</v>
      </c>
      <c r="K334" s="21">
        <v>14268</v>
      </c>
    </row>
    <row r="335" spans="1:11" x14ac:dyDescent="0.3">
      <c r="A335" t="s">
        <v>2309</v>
      </c>
      <c r="B335">
        <v>334</v>
      </c>
      <c r="C335" t="s">
        <v>1604</v>
      </c>
      <c r="D335">
        <v>28</v>
      </c>
      <c r="E335" s="21">
        <v>27838</v>
      </c>
      <c r="F335" s="21">
        <v>599957</v>
      </c>
      <c r="G335">
        <v>8.6999999999999994E-2</v>
      </c>
      <c r="H335">
        <v>30</v>
      </c>
      <c r="I335">
        <v>734</v>
      </c>
      <c r="J335">
        <v>1</v>
      </c>
      <c r="K335" s="21">
        <v>27099</v>
      </c>
    </row>
    <row r="336" spans="1:11" x14ac:dyDescent="0.3">
      <c r="A336" t="s">
        <v>2309</v>
      </c>
      <c r="B336">
        <v>335</v>
      </c>
      <c r="C336" t="s">
        <v>1605</v>
      </c>
      <c r="D336">
        <v>42</v>
      </c>
      <c r="E336" s="21">
        <v>48088</v>
      </c>
      <c r="F336" s="21">
        <v>598152</v>
      </c>
      <c r="G336">
        <v>0.10100000000000001</v>
      </c>
      <c r="H336">
        <v>30</v>
      </c>
      <c r="I336">
        <v>711</v>
      </c>
      <c r="J336">
        <v>3</v>
      </c>
      <c r="K336" s="21">
        <v>2346</v>
      </c>
    </row>
    <row r="337" spans="1:11" x14ac:dyDescent="0.3">
      <c r="A337" t="s">
        <v>2309</v>
      </c>
      <c r="B337">
        <v>336</v>
      </c>
      <c r="C337" t="s">
        <v>1606</v>
      </c>
      <c r="D337">
        <v>25</v>
      </c>
      <c r="E337" s="21">
        <v>31439</v>
      </c>
      <c r="F337" s="21">
        <v>1472232</v>
      </c>
      <c r="G337">
        <v>8.3000000000000004E-2</v>
      </c>
      <c r="H337">
        <v>15</v>
      </c>
      <c r="I337">
        <v>834</v>
      </c>
      <c r="J337">
        <v>8</v>
      </c>
      <c r="K337" s="21">
        <v>15464</v>
      </c>
    </row>
    <row r="338" spans="1:11" x14ac:dyDescent="0.3">
      <c r="A338" t="s">
        <v>2309</v>
      </c>
      <c r="B338">
        <v>337</v>
      </c>
      <c r="C338" t="s">
        <v>1607</v>
      </c>
      <c r="D338">
        <v>65</v>
      </c>
      <c r="E338" s="21">
        <v>90205</v>
      </c>
      <c r="F338" s="21">
        <v>2030913</v>
      </c>
      <c r="G338">
        <v>8.2000000000000003E-2</v>
      </c>
      <c r="H338">
        <v>15</v>
      </c>
      <c r="I338">
        <v>781</v>
      </c>
      <c r="J338">
        <v>15</v>
      </c>
      <c r="K338" s="21">
        <v>1626</v>
      </c>
    </row>
    <row r="339" spans="1:11" x14ac:dyDescent="0.3">
      <c r="A339" t="s">
        <v>2309</v>
      </c>
      <c r="B339">
        <v>338</v>
      </c>
      <c r="C339" t="s">
        <v>1608</v>
      </c>
      <c r="D339">
        <v>29</v>
      </c>
      <c r="E339" s="21">
        <v>27659</v>
      </c>
      <c r="F339" s="21">
        <v>2032337</v>
      </c>
      <c r="G339">
        <v>0.12</v>
      </c>
      <c r="H339">
        <v>30</v>
      </c>
      <c r="I339">
        <v>779</v>
      </c>
      <c r="J339">
        <v>4</v>
      </c>
      <c r="K339" s="21">
        <v>38219</v>
      </c>
    </row>
    <row r="340" spans="1:11" x14ac:dyDescent="0.3">
      <c r="A340" t="s">
        <v>2309</v>
      </c>
      <c r="B340">
        <v>339</v>
      </c>
      <c r="C340" t="s">
        <v>1609</v>
      </c>
      <c r="D340">
        <v>59</v>
      </c>
      <c r="E340" s="21">
        <v>86242</v>
      </c>
      <c r="F340" s="21">
        <v>1087913</v>
      </c>
      <c r="G340">
        <v>8.3000000000000004E-2</v>
      </c>
      <c r="H340">
        <v>25</v>
      </c>
      <c r="I340">
        <v>697</v>
      </c>
      <c r="J340">
        <v>8</v>
      </c>
      <c r="K340" s="21">
        <v>15840</v>
      </c>
    </row>
    <row r="341" spans="1:11" x14ac:dyDescent="0.3">
      <c r="A341" t="s">
        <v>2309</v>
      </c>
      <c r="B341">
        <v>340</v>
      </c>
      <c r="C341" t="s">
        <v>1610</v>
      </c>
      <c r="D341">
        <v>52</v>
      </c>
      <c r="E341" s="21">
        <v>101809</v>
      </c>
      <c r="F341" s="21">
        <v>2206342</v>
      </c>
      <c r="G341">
        <v>0.104</v>
      </c>
      <c r="H341">
        <v>15</v>
      </c>
      <c r="I341">
        <v>649</v>
      </c>
      <c r="J341">
        <v>12</v>
      </c>
      <c r="K341" s="21">
        <v>16094</v>
      </c>
    </row>
    <row r="342" spans="1:11" x14ac:dyDescent="0.3">
      <c r="A342" t="s">
        <v>2309</v>
      </c>
      <c r="B342">
        <v>341</v>
      </c>
      <c r="C342" t="s">
        <v>1611</v>
      </c>
      <c r="D342">
        <v>55</v>
      </c>
      <c r="E342" s="21">
        <v>80144</v>
      </c>
      <c r="F342" s="21">
        <v>1971382</v>
      </c>
      <c r="G342">
        <v>0.1</v>
      </c>
      <c r="H342">
        <v>10</v>
      </c>
      <c r="I342">
        <v>651</v>
      </c>
      <c r="J342">
        <v>12</v>
      </c>
      <c r="K342" s="21">
        <v>39710</v>
      </c>
    </row>
    <row r="343" spans="1:11" x14ac:dyDescent="0.3">
      <c r="A343" t="s">
        <v>2309</v>
      </c>
      <c r="B343">
        <v>342</v>
      </c>
      <c r="C343" t="s">
        <v>1612</v>
      </c>
      <c r="D343">
        <v>22</v>
      </c>
      <c r="E343" s="21">
        <v>43981</v>
      </c>
      <c r="F343" s="21">
        <v>1782786</v>
      </c>
      <c r="G343">
        <v>9.0999999999999998E-2</v>
      </c>
      <c r="H343">
        <v>20</v>
      </c>
      <c r="I343">
        <v>670</v>
      </c>
      <c r="J343">
        <v>5</v>
      </c>
      <c r="K343" s="21">
        <v>40274</v>
      </c>
    </row>
    <row r="344" spans="1:11" x14ac:dyDescent="0.3">
      <c r="A344" t="s">
        <v>2309</v>
      </c>
      <c r="B344">
        <v>343</v>
      </c>
      <c r="C344" t="s">
        <v>1613</v>
      </c>
      <c r="D344">
        <v>40</v>
      </c>
      <c r="E344" s="21">
        <v>49277</v>
      </c>
      <c r="F344" s="21">
        <v>1219319</v>
      </c>
      <c r="G344">
        <v>0.104</v>
      </c>
      <c r="H344">
        <v>10</v>
      </c>
      <c r="I344">
        <v>817</v>
      </c>
      <c r="J344">
        <v>5</v>
      </c>
      <c r="K344" s="21">
        <v>20692</v>
      </c>
    </row>
    <row r="345" spans="1:11" x14ac:dyDescent="0.3">
      <c r="A345" t="s">
        <v>2309</v>
      </c>
      <c r="B345">
        <v>344</v>
      </c>
      <c r="C345" t="s">
        <v>1614</v>
      </c>
      <c r="D345">
        <v>61</v>
      </c>
      <c r="E345" s="21">
        <v>86369</v>
      </c>
      <c r="F345" s="21">
        <v>1854477</v>
      </c>
      <c r="G345">
        <v>9.8000000000000004E-2</v>
      </c>
      <c r="H345">
        <v>30</v>
      </c>
      <c r="I345">
        <v>790</v>
      </c>
      <c r="J345">
        <v>14</v>
      </c>
      <c r="K345" s="21">
        <v>27761</v>
      </c>
    </row>
    <row r="346" spans="1:11" x14ac:dyDescent="0.3">
      <c r="A346" t="s">
        <v>2309</v>
      </c>
      <c r="B346">
        <v>345</v>
      </c>
      <c r="C346" t="s">
        <v>1615</v>
      </c>
      <c r="D346">
        <v>59</v>
      </c>
      <c r="E346" s="21">
        <v>61618</v>
      </c>
      <c r="F346" s="21">
        <v>1983605</v>
      </c>
      <c r="G346">
        <v>0.104</v>
      </c>
      <c r="H346">
        <v>10</v>
      </c>
      <c r="I346">
        <v>648</v>
      </c>
      <c r="J346">
        <v>11</v>
      </c>
      <c r="K346" s="21">
        <v>37973</v>
      </c>
    </row>
    <row r="347" spans="1:11" x14ac:dyDescent="0.3">
      <c r="A347" t="s">
        <v>2309</v>
      </c>
      <c r="B347">
        <v>346</v>
      </c>
      <c r="C347" t="s">
        <v>1616</v>
      </c>
      <c r="D347">
        <v>39</v>
      </c>
      <c r="E347" s="21">
        <v>17219</v>
      </c>
      <c r="F347" s="21">
        <v>1796050</v>
      </c>
      <c r="G347">
        <v>8.2000000000000003E-2</v>
      </c>
      <c r="H347">
        <v>15</v>
      </c>
      <c r="I347">
        <v>604</v>
      </c>
      <c r="J347">
        <v>15</v>
      </c>
      <c r="K347" s="21">
        <v>32781</v>
      </c>
    </row>
    <row r="348" spans="1:11" x14ac:dyDescent="0.3">
      <c r="A348" t="s">
        <v>2309</v>
      </c>
      <c r="B348">
        <v>347</v>
      </c>
      <c r="C348" t="s">
        <v>1617</v>
      </c>
      <c r="D348">
        <v>28</v>
      </c>
      <c r="E348" s="21">
        <v>22772</v>
      </c>
      <c r="F348" s="21">
        <v>1077287</v>
      </c>
      <c r="G348">
        <v>0.115</v>
      </c>
      <c r="H348">
        <v>10</v>
      </c>
      <c r="I348">
        <v>788</v>
      </c>
      <c r="J348">
        <v>3</v>
      </c>
      <c r="K348" s="21">
        <v>4009</v>
      </c>
    </row>
    <row r="349" spans="1:11" x14ac:dyDescent="0.3">
      <c r="A349" t="s">
        <v>2309</v>
      </c>
      <c r="B349">
        <v>348</v>
      </c>
      <c r="C349" t="s">
        <v>1618</v>
      </c>
      <c r="D349">
        <v>24</v>
      </c>
      <c r="E349" s="21">
        <v>118254</v>
      </c>
      <c r="F349" s="21">
        <v>725327</v>
      </c>
      <c r="G349">
        <v>0.11700000000000001</v>
      </c>
      <c r="H349">
        <v>10</v>
      </c>
      <c r="I349">
        <v>739</v>
      </c>
      <c r="J349">
        <v>15</v>
      </c>
      <c r="K349" s="21">
        <v>20680</v>
      </c>
    </row>
    <row r="350" spans="1:11" x14ac:dyDescent="0.3">
      <c r="A350" t="s">
        <v>2309</v>
      </c>
      <c r="B350">
        <v>349</v>
      </c>
      <c r="C350" t="s">
        <v>1619</v>
      </c>
      <c r="D350">
        <v>44</v>
      </c>
      <c r="E350" s="21">
        <v>15150</v>
      </c>
      <c r="F350" s="21">
        <v>2334252</v>
      </c>
      <c r="G350">
        <v>8.2000000000000003E-2</v>
      </c>
      <c r="H350">
        <v>20</v>
      </c>
      <c r="I350">
        <v>620</v>
      </c>
      <c r="J350">
        <v>4</v>
      </c>
      <c r="K350" s="21">
        <v>49565</v>
      </c>
    </row>
    <row r="351" spans="1:11" x14ac:dyDescent="0.3">
      <c r="A351" t="s">
        <v>2309</v>
      </c>
      <c r="B351">
        <v>350</v>
      </c>
      <c r="C351" t="s">
        <v>1620</v>
      </c>
      <c r="D351">
        <v>55</v>
      </c>
      <c r="E351" s="21">
        <v>73445</v>
      </c>
      <c r="F351" s="21">
        <v>1043288</v>
      </c>
      <c r="G351">
        <v>0.107</v>
      </c>
      <c r="H351">
        <v>10</v>
      </c>
      <c r="I351">
        <v>639</v>
      </c>
      <c r="J351">
        <v>12</v>
      </c>
      <c r="K351" s="21">
        <v>30278</v>
      </c>
    </row>
    <row r="352" spans="1:11" x14ac:dyDescent="0.3">
      <c r="A352" t="s">
        <v>2309</v>
      </c>
      <c r="B352">
        <v>351</v>
      </c>
      <c r="C352" t="s">
        <v>1621</v>
      </c>
      <c r="D352">
        <v>37</v>
      </c>
      <c r="E352" s="21">
        <v>85676</v>
      </c>
      <c r="F352" s="21">
        <v>550949</v>
      </c>
      <c r="G352">
        <v>0.105</v>
      </c>
      <c r="H352">
        <v>30</v>
      </c>
      <c r="I352">
        <v>828</v>
      </c>
      <c r="J352">
        <v>15</v>
      </c>
      <c r="K352" s="21">
        <v>26056</v>
      </c>
    </row>
    <row r="353" spans="1:11" x14ac:dyDescent="0.3">
      <c r="A353" t="s">
        <v>2309</v>
      </c>
      <c r="B353">
        <v>352</v>
      </c>
      <c r="C353" t="s">
        <v>1622</v>
      </c>
      <c r="D353">
        <v>57</v>
      </c>
      <c r="E353" s="21">
        <v>25406</v>
      </c>
      <c r="F353" s="21">
        <v>2490850</v>
      </c>
      <c r="G353">
        <v>0.11799999999999999</v>
      </c>
      <c r="H353">
        <v>10</v>
      </c>
      <c r="I353">
        <v>776</v>
      </c>
      <c r="J353">
        <v>4</v>
      </c>
      <c r="K353" s="21">
        <v>41012</v>
      </c>
    </row>
    <row r="354" spans="1:11" x14ac:dyDescent="0.3">
      <c r="A354" t="s">
        <v>2309</v>
      </c>
      <c r="B354">
        <v>353</v>
      </c>
      <c r="C354" t="s">
        <v>1623</v>
      </c>
      <c r="D354">
        <v>26</v>
      </c>
      <c r="E354" s="21">
        <v>118585</v>
      </c>
      <c r="F354" s="21">
        <v>1299191</v>
      </c>
      <c r="G354">
        <v>9.4E-2</v>
      </c>
      <c r="H354">
        <v>20</v>
      </c>
      <c r="I354">
        <v>644</v>
      </c>
      <c r="J354">
        <v>7</v>
      </c>
      <c r="K354" s="21">
        <v>40204</v>
      </c>
    </row>
    <row r="355" spans="1:11" x14ac:dyDescent="0.3">
      <c r="A355" t="s">
        <v>2309</v>
      </c>
      <c r="B355">
        <v>354</v>
      </c>
      <c r="C355" t="s">
        <v>1624</v>
      </c>
      <c r="D355">
        <v>50</v>
      </c>
      <c r="E355" s="21">
        <v>58716</v>
      </c>
      <c r="F355" s="21">
        <v>1600710</v>
      </c>
      <c r="G355">
        <v>0.114</v>
      </c>
      <c r="H355">
        <v>30</v>
      </c>
      <c r="I355">
        <v>780</v>
      </c>
      <c r="J355">
        <v>7</v>
      </c>
      <c r="K355" s="21">
        <v>32788</v>
      </c>
    </row>
    <row r="356" spans="1:11" x14ac:dyDescent="0.3">
      <c r="A356" t="s">
        <v>2309</v>
      </c>
      <c r="B356">
        <v>355</v>
      </c>
      <c r="C356" t="s">
        <v>1625</v>
      </c>
      <c r="D356">
        <v>44</v>
      </c>
      <c r="E356" s="21">
        <v>72651</v>
      </c>
      <c r="F356" s="21">
        <v>910350</v>
      </c>
      <c r="G356">
        <v>9.9000000000000005E-2</v>
      </c>
      <c r="H356">
        <v>25</v>
      </c>
      <c r="I356">
        <v>655</v>
      </c>
      <c r="J356">
        <v>13</v>
      </c>
      <c r="K356" s="21">
        <v>37436</v>
      </c>
    </row>
    <row r="357" spans="1:11" x14ac:dyDescent="0.3">
      <c r="A357" t="s">
        <v>2309</v>
      </c>
      <c r="B357">
        <v>356</v>
      </c>
      <c r="C357" t="s">
        <v>1626</v>
      </c>
      <c r="D357">
        <v>44</v>
      </c>
      <c r="E357" s="21">
        <v>19208</v>
      </c>
      <c r="F357" s="21">
        <v>1897185</v>
      </c>
      <c r="G357">
        <v>9.7000000000000003E-2</v>
      </c>
      <c r="H357">
        <v>20</v>
      </c>
      <c r="I357">
        <v>805</v>
      </c>
      <c r="J357">
        <v>8</v>
      </c>
      <c r="K357" s="21">
        <v>47531</v>
      </c>
    </row>
    <row r="358" spans="1:11" x14ac:dyDescent="0.3">
      <c r="A358" t="s">
        <v>2309</v>
      </c>
      <c r="B358">
        <v>357</v>
      </c>
      <c r="C358" t="s">
        <v>1627</v>
      </c>
      <c r="D358">
        <v>46</v>
      </c>
      <c r="E358" s="21">
        <v>95359</v>
      </c>
      <c r="F358" s="21">
        <v>929576</v>
      </c>
      <c r="G358">
        <v>9.1999999999999998E-2</v>
      </c>
      <c r="H358">
        <v>25</v>
      </c>
      <c r="I358">
        <v>652</v>
      </c>
      <c r="J358">
        <v>6</v>
      </c>
      <c r="K358" s="21">
        <v>47725</v>
      </c>
    </row>
    <row r="359" spans="1:11" x14ac:dyDescent="0.3">
      <c r="A359" t="s">
        <v>2309</v>
      </c>
      <c r="B359">
        <v>358</v>
      </c>
      <c r="C359" t="s">
        <v>1628</v>
      </c>
      <c r="D359">
        <v>37</v>
      </c>
      <c r="E359" s="21">
        <v>59611</v>
      </c>
      <c r="F359" s="21">
        <v>1589174</v>
      </c>
      <c r="G359">
        <v>8.4000000000000005E-2</v>
      </c>
      <c r="H359">
        <v>15</v>
      </c>
      <c r="I359">
        <v>619</v>
      </c>
      <c r="J359">
        <v>2</v>
      </c>
      <c r="K359" s="21">
        <v>44265</v>
      </c>
    </row>
    <row r="360" spans="1:11" x14ac:dyDescent="0.3">
      <c r="A360" t="s">
        <v>2309</v>
      </c>
      <c r="B360">
        <v>359</v>
      </c>
      <c r="C360" t="s">
        <v>1629</v>
      </c>
      <c r="D360">
        <v>49</v>
      </c>
      <c r="E360" s="21">
        <v>99813</v>
      </c>
      <c r="F360" s="21">
        <v>2303716</v>
      </c>
      <c r="G360">
        <v>0.113</v>
      </c>
      <c r="H360">
        <v>30</v>
      </c>
      <c r="I360">
        <v>849</v>
      </c>
      <c r="J360">
        <v>13</v>
      </c>
      <c r="K360" s="21">
        <v>15646</v>
      </c>
    </row>
    <row r="361" spans="1:11" x14ac:dyDescent="0.3">
      <c r="A361" t="s">
        <v>2309</v>
      </c>
      <c r="B361">
        <v>360</v>
      </c>
      <c r="C361" t="s">
        <v>1630</v>
      </c>
      <c r="D361">
        <v>23</v>
      </c>
      <c r="E361" s="21">
        <v>39567</v>
      </c>
      <c r="F361" s="21">
        <v>1010997</v>
      </c>
      <c r="G361">
        <v>0.114</v>
      </c>
      <c r="H361">
        <v>25</v>
      </c>
      <c r="I361">
        <v>773</v>
      </c>
      <c r="J361">
        <v>8</v>
      </c>
      <c r="K361" s="21">
        <v>29479</v>
      </c>
    </row>
    <row r="362" spans="1:11" x14ac:dyDescent="0.3">
      <c r="A362" t="s">
        <v>2309</v>
      </c>
      <c r="B362">
        <v>361</v>
      </c>
      <c r="C362" t="s">
        <v>1631</v>
      </c>
      <c r="D362">
        <v>53</v>
      </c>
      <c r="E362" s="21">
        <v>50557</v>
      </c>
      <c r="F362" s="21">
        <v>606025</v>
      </c>
      <c r="G362">
        <v>0.09</v>
      </c>
      <c r="H362">
        <v>15</v>
      </c>
      <c r="I362">
        <v>710</v>
      </c>
      <c r="J362">
        <v>7</v>
      </c>
      <c r="K362" s="21">
        <v>30586</v>
      </c>
    </row>
    <row r="363" spans="1:11" x14ac:dyDescent="0.3">
      <c r="A363" t="s">
        <v>2309</v>
      </c>
      <c r="B363">
        <v>362</v>
      </c>
      <c r="C363" t="s">
        <v>1632</v>
      </c>
      <c r="D363">
        <v>40</v>
      </c>
      <c r="E363" s="21">
        <v>33092</v>
      </c>
      <c r="F363" s="21">
        <v>2005983</v>
      </c>
      <c r="G363">
        <v>0.11600000000000001</v>
      </c>
      <c r="H363">
        <v>20</v>
      </c>
      <c r="I363">
        <v>626</v>
      </c>
      <c r="J363">
        <v>5</v>
      </c>
      <c r="K363" s="21">
        <v>28644</v>
      </c>
    </row>
    <row r="364" spans="1:11" x14ac:dyDescent="0.3">
      <c r="A364" t="s">
        <v>2309</v>
      </c>
      <c r="B364">
        <v>363</v>
      </c>
      <c r="C364" t="s">
        <v>1633</v>
      </c>
      <c r="D364">
        <v>48</v>
      </c>
      <c r="E364" s="21">
        <v>74835</v>
      </c>
      <c r="F364" s="21">
        <v>2482397</v>
      </c>
      <c r="G364">
        <v>9.6000000000000002E-2</v>
      </c>
      <c r="H364">
        <v>15</v>
      </c>
      <c r="I364">
        <v>753</v>
      </c>
      <c r="J364">
        <v>10</v>
      </c>
      <c r="K364" s="21">
        <v>21618</v>
      </c>
    </row>
    <row r="365" spans="1:11" x14ac:dyDescent="0.3">
      <c r="A365" t="s">
        <v>2309</v>
      </c>
      <c r="B365">
        <v>364</v>
      </c>
      <c r="C365" t="s">
        <v>1634</v>
      </c>
      <c r="D365">
        <v>42</v>
      </c>
      <c r="E365" s="21">
        <v>101794</v>
      </c>
      <c r="F365" s="21">
        <v>2337063</v>
      </c>
      <c r="G365">
        <v>0.1</v>
      </c>
      <c r="H365">
        <v>10</v>
      </c>
      <c r="I365">
        <v>815</v>
      </c>
      <c r="J365">
        <v>13</v>
      </c>
      <c r="K365" s="21">
        <v>30656</v>
      </c>
    </row>
    <row r="366" spans="1:11" x14ac:dyDescent="0.3">
      <c r="A366" t="s">
        <v>2309</v>
      </c>
      <c r="B366">
        <v>365</v>
      </c>
      <c r="C366" t="s">
        <v>1635</v>
      </c>
      <c r="D366">
        <v>58</v>
      </c>
      <c r="E366" s="21">
        <v>73858</v>
      </c>
      <c r="F366" s="21">
        <v>1814411</v>
      </c>
      <c r="G366">
        <v>0.107</v>
      </c>
      <c r="H366">
        <v>15</v>
      </c>
      <c r="I366">
        <v>634</v>
      </c>
      <c r="J366">
        <v>12</v>
      </c>
      <c r="K366" s="21">
        <v>31941</v>
      </c>
    </row>
    <row r="367" spans="1:11" x14ac:dyDescent="0.3">
      <c r="A367" t="s">
        <v>2309</v>
      </c>
      <c r="B367">
        <v>366</v>
      </c>
      <c r="C367" t="s">
        <v>1636</v>
      </c>
      <c r="D367">
        <v>39</v>
      </c>
      <c r="E367" s="21">
        <v>118984</v>
      </c>
      <c r="F367" s="21">
        <v>2406341</v>
      </c>
      <c r="G367">
        <v>0.106</v>
      </c>
      <c r="H367">
        <v>20</v>
      </c>
      <c r="I367">
        <v>700</v>
      </c>
      <c r="J367">
        <v>12</v>
      </c>
      <c r="K367" s="21">
        <v>38704</v>
      </c>
    </row>
    <row r="368" spans="1:11" x14ac:dyDescent="0.3">
      <c r="A368" t="s">
        <v>2309</v>
      </c>
      <c r="B368">
        <v>367</v>
      </c>
      <c r="C368" t="s">
        <v>1637</v>
      </c>
      <c r="D368">
        <v>57</v>
      </c>
      <c r="E368" s="21">
        <v>78963</v>
      </c>
      <c r="F368" s="21">
        <v>1158843</v>
      </c>
      <c r="G368">
        <v>0.1</v>
      </c>
      <c r="H368">
        <v>30</v>
      </c>
      <c r="I368">
        <v>832</v>
      </c>
      <c r="J368">
        <v>8</v>
      </c>
      <c r="K368" s="21">
        <v>43684</v>
      </c>
    </row>
    <row r="369" spans="1:11" x14ac:dyDescent="0.3">
      <c r="A369" t="s">
        <v>2309</v>
      </c>
      <c r="B369">
        <v>368</v>
      </c>
      <c r="C369" t="s">
        <v>1638</v>
      </c>
      <c r="D369">
        <v>61</v>
      </c>
      <c r="E369" s="21">
        <v>73937</v>
      </c>
      <c r="F369" s="21">
        <v>1750519</v>
      </c>
      <c r="G369">
        <v>9.2999999999999999E-2</v>
      </c>
      <c r="H369">
        <v>15</v>
      </c>
      <c r="I369">
        <v>612</v>
      </c>
      <c r="J369">
        <v>4</v>
      </c>
      <c r="K369" s="21">
        <v>13989</v>
      </c>
    </row>
    <row r="370" spans="1:11" x14ac:dyDescent="0.3">
      <c r="A370" t="s">
        <v>2309</v>
      </c>
      <c r="B370">
        <v>369</v>
      </c>
      <c r="C370" t="s">
        <v>1639</v>
      </c>
      <c r="D370">
        <v>35</v>
      </c>
      <c r="E370" s="21">
        <v>104807</v>
      </c>
      <c r="F370" s="21">
        <v>590543</v>
      </c>
      <c r="G370">
        <v>9.1999999999999998E-2</v>
      </c>
      <c r="H370">
        <v>25</v>
      </c>
      <c r="I370">
        <v>796</v>
      </c>
      <c r="J370">
        <v>13</v>
      </c>
      <c r="K370" s="21">
        <v>19406</v>
      </c>
    </row>
    <row r="371" spans="1:11" x14ac:dyDescent="0.3">
      <c r="A371" t="s">
        <v>2309</v>
      </c>
      <c r="B371">
        <v>370</v>
      </c>
      <c r="C371" t="s">
        <v>1640</v>
      </c>
      <c r="D371">
        <v>22</v>
      </c>
      <c r="E371" s="21">
        <v>36853</v>
      </c>
      <c r="F371" s="21">
        <v>1500242</v>
      </c>
      <c r="G371">
        <v>9.0999999999999998E-2</v>
      </c>
      <c r="H371">
        <v>15</v>
      </c>
      <c r="I371">
        <v>603</v>
      </c>
      <c r="J371">
        <v>6</v>
      </c>
      <c r="K371" s="21">
        <v>11021</v>
      </c>
    </row>
    <row r="372" spans="1:11" x14ac:dyDescent="0.3">
      <c r="A372" t="s">
        <v>2309</v>
      </c>
      <c r="B372">
        <v>371</v>
      </c>
      <c r="C372" t="s">
        <v>1641</v>
      </c>
      <c r="D372">
        <v>36</v>
      </c>
      <c r="E372" s="21">
        <v>34280</v>
      </c>
      <c r="F372" s="21">
        <v>563477</v>
      </c>
      <c r="G372">
        <v>9.7000000000000003E-2</v>
      </c>
      <c r="H372">
        <v>15</v>
      </c>
      <c r="I372">
        <v>787</v>
      </c>
      <c r="J372">
        <v>2</v>
      </c>
      <c r="K372" s="21">
        <v>42949</v>
      </c>
    </row>
    <row r="373" spans="1:11" x14ac:dyDescent="0.3">
      <c r="A373" t="s">
        <v>2309</v>
      </c>
      <c r="B373">
        <v>372</v>
      </c>
      <c r="C373" t="s">
        <v>1642</v>
      </c>
      <c r="D373">
        <v>46</v>
      </c>
      <c r="E373" s="21">
        <v>61205</v>
      </c>
      <c r="F373" s="21">
        <v>1169857</v>
      </c>
      <c r="G373">
        <v>9.1999999999999998E-2</v>
      </c>
      <c r="H373">
        <v>20</v>
      </c>
      <c r="I373">
        <v>785</v>
      </c>
      <c r="J373">
        <v>9</v>
      </c>
      <c r="K373" s="21">
        <v>24443</v>
      </c>
    </row>
    <row r="374" spans="1:11" x14ac:dyDescent="0.3">
      <c r="A374" t="s">
        <v>2309</v>
      </c>
      <c r="B374">
        <v>373</v>
      </c>
      <c r="C374" t="s">
        <v>1643</v>
      </c>
      <c r="D374">
        <v>29</v>
      </c>
      <c r="E374" s="21">
        <v>72057</v>
      </c>
      <c r="F374" s="21">
        <v>824129</v>
      </c>
      <c r="G374">
        <v>8.5999999999999993E-2</v>
      </c>
      <c r="H374">
        <v>25</v>
      </c>
      <c r="I374">
        <v>781</v>
      </c>
      <c r="J374">
        <v>2</v>
      </c>
      <c r="K374" s="21">
        <v>29737</v>
      </c>
    </row>
    <row r="375" spans="1:11" x14ac:dyDescent="0.3">
      <c r="A375" t="s">
        <v>2309</v>
      </c>
      <c r="B375">
        <v>374</v>
      </c>
      <c r="C375" t="s">
        <v>1644</v>
      </c>
      <c r="D375">
        <v>63</v>
      </c>
      <c r="E375" s="21">
        <v>96290</v>
      </c>
      <c r="F375" s="21">
        <v>1515601</v>
      </c>
      <c r="G375">
        <v>8.1000000000000003E-2</v>
      </c>
      <c r="H375">
        <v>15</v>
      </c>
      <c r="I375">
        <v>828</v>
      </c>
      <c r="J375">
        <v>15</v>
      </c>
      <c r="K375" s="21">
        <v>1059</v>
      </c>
    </row>
    <row r="376" spans="1:11" x14ac:dyDescent="0.3">
      <c r="A376" t="s">
        <v>2309</v>
      </c>
      <c r="B376">
        <v>375</v>
      </c>
      <c r="C376" t="s">
        <v>1645</v>
      </c>
      <c r="D376">
        <v>24</v>
      </c>
      <c r="E376" s="21">
        <v>43101</v>
      </c>
      <c r="F376" s="21">
        <v>1451588</v>
      </c>
      <c r="G376">
        <v>0.1</v>
      </c>
      <c r="H376">
        <v>10</v>
      </c>
      <c r="I376">
        <v>736</v>
      </c>
      <c r="J376">
        <v>12</v>
      </c>
      <c r="K376" s="21">
        <v>26232</v>
      </c>
    </row>
    <row r="377" spans="1:11" x14ac:dyDescent="0.3">
      <c r="A377" t="s">
        <v>2309</v>
      </c>
      <c r="B377">
        <v>376</v>
      </c>
      <c r="C377" t="s">
        <v>1646</v>
      </c>
      <c r="D377">
        <v>61</v>
      </c>
      <c r="E377" s="21">
        <v>115378</v>
      </c>
      <c r="F377" s="21">
        <v>2336753</v>
      </c>
      <c r="G377">
        <v>8.6999999999999994E-2</v>
      </c>
      <c r="H377">
        <v>25</v>
      </c>
      <c r="I377">
        <v>694</v>
      </c>
      <c r="J377">
        <v>6</v>
      </c>
      <c r="K377" s="21">
        <v>35777</v>
      </c>
    </row>
    <row r="378" spans="1:11" x14ac:dyDescent="0.3">
      <c r="A378" t="s">
        <v>2309</v>
      </c>
      <c r="B378">
        <v>377</v>
      </c>
      <c r="C378" t="s">
        <v>1647</v>
      </c>
      <c r="D378">
        <v>20</v>
      </c>
      <c r="E378" s="21">
        <v>74992</v>
      </c>
      <c r="F378" s="21">
        <v>1000426</v>
      </c>
      <c r="G378">
        <v>0.106</v>
      </c>
      <c r="H378">
        <v>30</v>
      </c>
      <c r="I378">
        <v>613</v>
      </c>
      <c r="J378">
        <v>5</v>
      </c>
      <c r="K378" s="21">
        <v>29838</v>
      </c>
    </row>
    <row r="379" spans="1:11" x14ac:dyDescent="0.3">
      <c r="A379" t="s">
        <v>2309</v>
      </c>
      <c r="B379">
        <v>378</v>
      </c>
      <c r="C379" t="s">
        <v>1648</v>
      </c>
      <c r="D379">
        <v>50</v>
      </c>
      <c r="E379" s="21">
        <v>102645</v>
      </c>
      <c r="F379" s="21">
        <v>2397193</v>
      </c>
      <c r="G379">
        <v>9.4E-2</v>
      </c>
      <c r="H379">
        <v>25</v>
      </c>
      <c r="I379">
        <v>817</v>
      </c>
      <c r="J379">
        <v>7</v>
      </c>
      <c r="K379" s="21">
        <v>35942</v>
      </c>
    </row>
    <row r="380" spans="1:11" x14ac:dyDescent="0.3">
      <c r="A380" t="s">
        <v>2309</v>
      </c>
      <c r="B380">
        <v>379</v>
      </c>
      <c r="C380" t="s">
        <v>1649</v>
      </c>
      <c r="D380">
        <v>22</v>
      </c>
      <c r="E380" s="21">
        <v>43304</v>
      </c>
      <c r="F380" s="21">
        <v>1674030</v>
      </c>
      <c r="G380">
        <v>9.1999999999999998E-2</v>
      </c>
      <c r="H380">
        <v>30</v>
      </c>
      <c r="I380">
        <v>693</v>
      </c>
      <c r="J380">
        <v>10</v>
      </c>
      <c r="K380" s="21">
        <v>40689</v>
      </c>
    </row>
    <row r="381" spans="1:11" x14ac:dyDescent="0.3">
      <c r="A381" t="s">
        <v>2309</v>
      </c>
      <c r="B381">
        <v>380</v>
      </c>
      <c r="C381" t="s">
        <v>1650</v>
      </c>
      <c r="D381">
        <v>35</v>
      </c>
      <c r="E381" s="21">
        <v>56121</v>
      </c>
      <c r="F381" s="21">
        <v>2390364</v>
      </c>
      <c r="G381">
        <v>8.5000000000000006E-2</v>
      </c>
      <c r="H381">
        <v>20</v>
      </c>
      <c r="I381">
        <v>832</v>
      </c>
      <c r="J381">
        <v>5</v>
      </c>
      <c r="K381" s="21">
        <v>4401</v>
      </c>
    </row>
    <row r="382" spans="1:11" x14ac:dyDescent="0.3">
      <c r="A382" t="s">
        <v>2309</v>
      </c>
      <c r="B382">
        <v>381</v>
      </c>
      <c r="C382" t="s">
        <v>1651</v>
      </c>
      <c r="D382">
        <v>57</v>
      </c>
      <c r="E382" s="21">
        <v>76001</v>
      </c>
      <c r="F382" s="21">
        <v>1714721</v>
      </c>
      <c r="G382">
        <v>0.1</v>
      </c>
      <c r="H382">
        <v>30</v>
      </c>
      <c r="I382">
        <v>822</v>
      </c>
      <c r="J382">
        <v>15</v>
      </c>
      <c r="K382" s="21">
        <v>37490</v>
      </c>
    </row>
    <row r="383" spans="1:11" x14ac:dyDescent="0.3">
      <c r="A383" t="s">
        <v>2309</v>
      </c>
      <c r="B383">
        <v>382</v>
      </c>
      <c r="C383" t="s">
        <v>1652</v>
      </c>
      <c r="D383">
        <v>25</v>
      </c>
      <c r="E383" s="21">
        <v>83012</v>
      </c>
      <c r="F383" s="21">
        <v>1234691</v>
      </c>
      <c r="G383">
        <v>8.5000000000000006E-2</v>
      </c>
      <c r="H383">
        <v>30</v>
      </c>
      <c r="I383">
        <v>703</v>
      </c>
      <c r="J383">
        <v>6</v>
      </c>
      <c r="K383" s="21">
        <v>15661</v>
      </c>
    </row>
    <row r="384" spans="1:11" x14ac:dyDescent="0.3">
      <c r="A384" t="s">
        <v>2309</v>
      </c>
      <c r="B384">
        <v>383</v>
      </c>
      <c r="C384" t="s">
        <v>1653</v>
      </c>
      <c r="D384">
        <v>39</v>
      </c>
      <c r="E384" s="21">
        <v>69681</v>
      </c>
      <c r="F384" s="21">
        <v>1727244</v>
      </c>
      <c r="G384">
        <v>8.5000000000000006E-2</v>
      </c>
      <c r="H384">
        <v>10</v>
      </c>
      <c r="I384">
        <v>675</v>
      </c>
      <c r="J384">
        <v>12</v>
      </c>
      <c r="K384" s="21">
        <v>32585</v>
      </c>
    </row>
    <row r="385" spans="1:11" x14ac:dyDescent="0.3">
      <c r="A385" t="s">
        <v>2309</v>
      </c>
      <c r="B385">
        <v>384</v>
      </c>
      <c r="C385" t="s">
        <v>1654</v>
      </c>
      <c r="D385">
        <v>62</v>
      </c>
      <c r="E385" s="21">
        <v>77865</v>
      </c>
      <c r="F385" s="21">
        <v>572623</v>
      </c>
      <c r="G385">
        <v>0.08</v>
      </c>
      <c r="H385">
        <v>20</v>
      </c>
      <c r="I385">
        <v>845</v>
      </c>
      <c r="J385">
        <v>0</v>
      </c>
      <c r="K385" s="21">
        <v>46975</v>
      </c>
    </row>
    <row r="386" spans="1:11" x14ac:dyDescent="0.3">
      <c r="A386" t="s">
        <v>2309</v>
      </c>
      <c r="B386">
        <v>385</v>
      </c>
      <c r="C386" t="s">
        <v>1655</v>
      </c>
      <c r="D386">
        <v>35</v>
      </c>
      <c r="E386" s="21">
        <v>17068</v>
      </c>
      <c r="F386" s="21">
        <v>1988776</v>
      </c>
      <c r="G386">
        <v>0.109</v>
      </c>
      <c r="H386">
        <v>10</v>
      </c>
      <c r="I386">
        <v>675</v>
      </c>
      <c r="J386">
        <v>1</v>
      </c>
      <c r="K386" s="21">
        <v>20041</v>
      </c>
    </row>
    <row r="387" spans="1:11" x14ac:dyDescent="0.3">
      <c r="A387" t="s">
        <v>2309</v>
      </c>
      <c r="B387">
        <v>386</v>
      </c>
      <c r="C387" t="s">
        <v>1656</v>
      </c>
      <c r="D387">
        <v>42</v>
      </c>
      <c r="E387" s="21">
        <v>19345</v>
      </c>
      <c r="F387" s="21">
        <v>1142236</v>
      </c>
      <c r="G387">
        <v>9.7000000000000003E-2</v>
      </c>
      <c r="H387">
        <v>10</v>
      </c>
      <c r="I387">
        <v>616</v>
      </c>
      <c r="J387">
        <v>5</v>
      </c>
      <c r="K387" s="21">
        <v>8233</v>
      </c>
    </row>
    <row r="388" spans="1:11" x14ac:dyDescent="0.3">
      <c r="A388" t="s">
        <v>2309</v>
      </c>
      <c r="B388">
        <v>387</v>
      </c>
      <c r="C388" t="s">
        <v>1657</v>
      </c>
      <c r="D388">
        <v>59</v>
      </c>
      <c r="E388" s="21">
        <v>29599</v>
      </c>
      <c r="F388" s="21">
        <v>1625423</v>
      </c>
      <c r="G388">
        <v>0.104</v>
      </c>
      <c r="H388">
        <v>15</v>
      </c>
      <c r="I388">
        <v>692</v>
      </c>
      <c r="J388">
        <v>0</v>
      </c>
      <c r="K388" s="21">
        <v>46206</v>
      </c>
    </row>
    <row r="389" spans="1:11" x14ac:dyDescent="0.3">
      <c r="A389" t="s">
        <v>2309</v>
      </c>
      <c r="B389">
        <v>388</v>
      </c>
      <c r="C389" t="s">
        <v>1658</v>
      </c>
      <c r="D389">
        <v>60</v>
      </c>
      <c r="E389" s="21">
        <v>35118</v>
      </c>
      <c r="F389" s="21">
        <v>2136373</v>
      </c>
      <c r="G389">
        <v>9.7000000000000003E-2</v>
      </c>
      <c r="H389">
        <v>10</v>
      </c>
      <c r="I389">
        <v>657</v>
      </c>
      <c r="J389">
        <v>6</v>
      </c>
      <c r="K389" s="21">
        <v>37784</v>
      </c>
    </row>
    <row r="390" spans="1:11" x14ac:dyDescent="0.3">
      <c r="A390" t="s">
        <v>2309</v>
      </c>
      <c r="B390">
        <v>389</v>
      </c>
      <c r="C390" t="s">
        <v>1659</v>
      </c>
      <c r="D390">
        <v>49</v>
      </c>
      <c r="E390" s="21">
        <v>91423</v>
      </c>
      <c r="F390" s="21">
        <v>1953049</v>
      </c>
      <c r="G390">
        <v>0.12</v>
      </c>
      <c r="H390">
        <v>15</v>
      </c>
      <c r="I390">
        <v>704</v>
      </c>
      <c r="J390">
        <v>11</v>
      </c>
      <c r="K390" s="21">
        <v>15522</v>
      </c>
    </row>
    <row r="391" spans="1:11" x14ac:dyDescent="0.3">
      <c r="A391" t="s">
        <v>2309</v>
      </c>
      <c r="B391">
        <v>390</v>
      </c>
      <c r="C391" t="s">
        <v>1660</v>
      </c>
      <c r="D391">
        <v>65</v>
      </c>
      <c r="E391" s="21">
        <v>53033</v>
      </c>
      <c r="F391" s="21">
        <v>1831330</v>
      </c>
      <c r="G391">
        <v>0.11799999999999999</v>
      </c>
      <c r="H391">
        <v>25</v>
      </c>
      <c r="I391">
        <v>829</v>
      </c>
      <c r="J391">
        <v>14</v>
      </c>
      <c r="K391" s="21">
        <v>27057</v>
      </c>
    </row>
    <row r="392" spans="1:11" x14ac:dyDescent="0.3">
      <c r="A392" t="s">
        <v>2309</v>
      </c>
      <c r="B392">
        <v>391</v>
      </c>
      <c r="C392" t="s">
        <v>1661</v>
      </c>
      <c r="D392">
        <v>39</v>
      </c>
      <c r="E392" s="21">
        <v>45335</v>
      </c>
      <c r="F392" s="21">
        <v>1830209</v>
      </c>
      <c r="G392">
        <v>8.6999999999999994E-2</v>
      </c>
      <c r="H392">
        <v>20</v>
      </c>
      <c r="I392">
        <v>771</v>
      </c>
      <c r="J392">
        <v>4</v>
      </c>
      <c r="K392" s="21">
        <v>15613</v>
      </c>
    </row>
    <row r="393" spans="1:11" x14ac:dyDescent="0.3">
      <c r="A393" t="s">
        <v>2309</v>
      </c>
      <c r="B393">
        <v>392</v>
      </c>
      <c r="C393" t="s">
        <v>1662</v>
      </c>
      <c r="D393">
        <v>36</v>
      </c>
      <c r="E393" s="21">
        <v>81556</v>
      </c>
      <c r="F393" s="21">
        <v>2187487</v>
      </c>
      <c r="G393">
        <v>8.5000000000000006E-2</v>
      </c>
      <c r="H393">
        <v>15</v>
      </c>
      <c r="I393">
        <v>657</v>
      </c>
      <c r="J393">
        <v>13</v>
      </c>
      <c r="K393" s="21">
        <v>42353</v>
      </c>
    </row>
    <row r="394" spans="1:11" x14ac:dyDescent="0.3">
      <c r="A394" t="s">
        <v>2309</v>
      </c>
      <c r="B394">
        <v>393</v>
      </c>
      <c r="C394" t="s">
        <v>1663</v>
      </c>
      <c r="D394">
        <v>34</v>
      </c>
      <c r="E394" s="21">
        <v>92113</v>
      </c>
      <c r="F394" s="21">
        <v>2001856</v>
      </c>
      <c r="G394">
        <v>0.11</v>
      </c>
      <c r="H394">
        <v>15</v>
      </c>
      <c r="I394">
        <v>694</v>
      </c>
      <c r="J394">
        <v>3</v>
      </c>
      <c r="K394" s="21">
        <v>37896</v>
      </c>
    </row>
    <row r="395" spans="1:11" x14ac:dyDescent="0.3">
      <c r="A395" t="s">
        <v>2309</v>
      </c>
      <c r="B395">
        <v>394</v>
      </c>
      <c r="C395" t="s">
        <v>1664</v>
      </c>
      <c r="D395">
        <v>33</v>
      </c>
      <c r="E395" s="21">
        <v>73358</v>
      </c>
      <c r="F395" s="21">
        <v>621415</v>
      </c>
      <c r="G395">
        <v>9.1999999999999998E-2</v>
      </c>
      <c r="H395">
        <v>10</v>
      </c>
      <c r="I395">
        <v>831</v>
      </c>
      <c r="J395">
        <v>12</v>
      </c>
      <c r="K395" s="21">
        <v>44254</v>
      </c>
    </row>
    <row r="396" spans="1:11" x14ac:dyDescent="0.3">
      <c r="A396" t="s">
        <v>2309</v>
      </c>
      <c r="B396">
        <v>395</v>
      </c>
      <c r="C396" t="s">
        <v>1665</v>
      </c>
      <c r="D396">
        <v>60</v>
      </c>
      <c r="E396" s="21">
        <v>78110</v>
      </c>
      <c r="F396" s="21">
        <v>879420</v>
      </c>
      <c r="G396">
        <v>0.09</v>
      </c>
      <c r="H396">
        <v>15</v>
      </c>
      <c r="I396">
        <v>770</v>
      </c>
      <c r="J396">
        <v>14</v>
      </c>
      <c r="K396" s="21">
        <v>32474</v>
      </c>
    </row>
    <row r="397" spans="1:11" x14ac:dyDescent="0.3">
      <c r="A397" t="s">
        <v>2309</v>
      </c>
      <c r="B397">
        <v>396</v>
      </c>
      <c r="C397" t="s">
        <v>1666</v>
      </c>
      <c r="D397">
        <v>50</v>
      </c>
      <c r="E397" s="21">
        <v>50615</v>
      </c>
      <c r="F397" s="21">
        <v>1049384</v>
      </c>
      <c r="G397">
        <v>9.0999999999999998E-2</v>
      </c>
      <c r="H397">
        <v>15</v>
      </c>
      <c r="I397">
        <v>634</v>
      </c>
      <c r="J397">
        <v>4</v>
      </c>
      <c r="K397" s="21">
        <v>33164</v>
      </c>
    </row>
    <row r="398" spans="1:11" x14ac:dyDescent="0.3">
      <c r="A398" t="s">
        <v>2309</v>
      </c>
      <c r="B398">
        <v>397</v>
      </c>
      <c r="C398" t="s">
        <v>1667</v>
      </c>
      <c r="D398">
        <v>35</v>
      </c>
      <c r="E398" s="21">
        <v>47091</v>
      </c>
      <c r="F398" s="21">
        <v>1882799</v>
      </c>
      <c r="G398">
        <v>0.10299999999999999</v>
      </c>
      <c r="H398">
        <v>25</v>
      </c>
      <c r="I398">
        <v>715</v>
      </c>
      <c r="J398">
        <v>13</v>
      </c>
      <c r="K398" s="21">
        <v>4240</v>
      </c>
    </row>
    <row r="399" spans="1:11" x14ac:dyDescent="0.3">
      <c r="A399" t="s">
        <v>2309</v>
      </c>
      <c r="B399">
        <v>398</v>
      </c>
      <c r="C399" t="s">
        <v>1668</v>
      </c>
      <c r="D399">
        <v>45</v>
      </c>
      <c r="E399" s="21">
        <v>49539</v>
      </c>
      <c r="F399" s="21">
        <v>1183744</v>
      </c>
      <c r="G399">
        <v>0.1</v>
      </c>
      <c r="H399">
        <v>10</v>
      </c>
      <c r="I399">
        <v>683</v>
      </c>
      <c r="J399">
        <v>14</v>
      </c>
      <c r="K399" s="21">
        <v>23506</v>
      </c>
    </row>
    <row r="400" spans="1:11" x14ac:dyDescent="0.3">
      <c r="A400" t="s">
        <v>2309</v>
      </c>
      <c r="B400">
        <v>399</v>
      </c>
      <c r="C400" t="s">
        <v>1669</v>
      </c>
      <c r="D400">
        <v>23</v>
      </c>
      <c r="E400" s="21">
        <v>48396</v>
      </c>
      <c r="F400" s="21">
        <v>2467902</v>
      </c>
      <c r="G400">
        <v>0.111</v>
      </c>
      <c r="H400">
        <v>25</v>
      </c>
      <c r="I400">
        <v>802</v>
      </c>
      <c r="J400">
        <v>15</v>
      </c>
      <c r="K400" s="21">
        <v>7682</v>
      </c>
    </row>
    <row r="401" spans="1:11" x14ac:dyDescent="0.3">
      <c r="A401" t="s">
        <v>2309</v>
      </c>
      <c r="B401">
        <v>400</v>
      </c>
      <c r="C401" t="s">
        <v>1670</v>
      </c>
      <c r="D401">
        <v>52</v>
      </c>
      <c r="E401" s="21">
        <v>63175</v>
      </c>
      <c r="F401" s="21">
        <v>718952</v>
      </c>
      <c r="G401">
        <v>0.107</v>
      </c>
      <c r="H401">
        <v>10</v>
      </c>
      <c r="I401">
        <v>685</v>
      </c>
      <c r="J401">
        <v>6</v>
      </c>
      <c r="K401" s="21">
        <v>1662</v>
      </c>
    </row>
    <row r="402" spans="1:11" x14ac:dyDescent="0.3">
      <c r="A402" t="s">
        <v>2309</v>
      </c>
      <c r="B402">
        <v>401</v>
      </c>
      <c r="C402" t="s">
        <v>1671</v>
      </c>
      <c r="D402">
        <v>20</v>
      </c>
      <c r="E402" s="21">
        <v>17276</v>
      </c>
      <c r="F402" s="21">
        <v>2196795</v>
      </c>
      <c r="G402">
        <v>9.9000000000000005E-2</v>
      </c>
      <c r="H402">
        <v>10</v>
      </c>
      <c r="I402">
        <v>844</v>
      </c>
      <c r="J402">
        <v>10</v>
      </c>
      <c r="K402" s="21">
        <v>30971</v>
      </c>
    </row>
    <row r="403" spans="1:11" x14ac:dyDescent="0.3">
      <c r="A403" t="s">
        <v>2309</v>
      </c>
      <c r="B403">
        <v>402</v>
      </c>
      <c r="C403" t="s">
        <v>1672</v>
      </c>
      <c r="D403">
        <v>23</v>
      </c>
      <c r="E403" s="21">
        <v>60718</v>
      </c>
      <c r="F403" s="21">
        <v>1108713</v>
      </c>
      <c r="G403">
        <v>9.9000000000000005E-2</v>
      </c>
      <c r="H403">
        <v>25</v>
      </c>
      <c r="I403">
        <v>628</v>
      </c>
      <c r="J403">
        <v>15</v>
      </c>
      <c r="K403" s="21">
        <v>23444</v>
      </c>
    </row>
    <row r="404" spans="1:11" x14ac:dyDescent="0.3">
      <c r="A404" t="s">
        <v>2309</v>
      </c>
      <c r="B404">
        <v>403</v>
      </c>
      <c r="C404" t="s">
        <v>1673</v>
      </c>
      <c r="D404">
        <v>59</v>
      </c>
      <c r="E404" s="21">
        <v>22217</v>
      </c>
      <c r="F404" s="21">
        <v>1174340</v>
      </c>
      <c r="G404">
        <v>9.5000000000000001E-2</v>
      </c>
      <c r="H404">
        <v>10</v>
      </c>
      <c r="I404">
        <v>697</v>
      </c>
      <c r="J404">
        <v>9</v>
      </c>
      <c r="K404" s="21">
        <v>1382</v>
      </c>
    </row>
    <row r="405" spans="1:11" x14ac:dyDescent="0.3">
      <c r="A405" t="s">
        <v>2309</v>
      </c>
      <c r="B405">
        <v>404</v>
      </c>
      <c r="C405" t="s">
        <v>1674</v>
      </c>
      <c r="D405">
        <v>33</v>
      </c>
      <c r="E405" s="21">
        <v>118106</v>
      </c>
      <c r="F405" s="21">
        <v>2179840</v>
      </c>
      <c r="G405">
        <v>9.2999999999999999E-2</v>
      </c>
      <c r="H405">
        <v>25</v>
      </c>
      <c r="I405">
        <v>700</v>
      </c>
      <c r="J405">
        <v>0</v>
      </c>
      <c r="K405" s="21">
        <v>12866</v>
      </c>
    </row>
    <row r="406" spans="1:11" x14ac:dyDescent="0.3">
      <c r="A406" t="s">
        <v>2309</v>
      </c>
      <c r="B406">
        <v>405</v>
      </c>
      <c r="C406" t="s">
        <v>1675</v>
      </c>
      <c r="D406">
        <v>42</v>
      </c>
      <c r="E406" s="21">
        <v>48282</v>
      </c>
      <c r="F406" s="21">
        <v>2052127</v>
      </c>
      <c r="G406">
        <v>0.106</v>
      </c>
      <c r="H406">
        <v>30</v>
      </c>
      <c r="I406">
        <v>735</v>
      </c>
      <c r="J406">
        <v>1</v>
      </c>
      <c r="K406" s="21">
        <v>4335</v>
      </c>
    </row>
    <row r="407" spans="1:11" x14ac:dyDescent="0.3">
      <c r="A407" t="s">
        <v>2309</v>
      </c>
      <c r="B407">
        <v>406</v>
      </c>
      <c r="C407" t="s">
        <v>1676</v>
      </c>
      <c r="D407">
        <v>20</v>
      </c>
      <c r="E407" s="21">
        <v>74399</v>
      </c>
      <c r="F407" s="21">
        <v>1758284</v>
      </c>
      <c r="G407">
        <v>8.6999999999999994E-2</v>
      </c>
      <c r="H407">
        <v>20</v>
      </c>
      <c r="I407">
        <v>727</v>
      </c>
      <c r="J407">
        <v>3</v>
      </c>
      <c r="K407" s="21">
        <v>47905</v>
      </c>
    </row>
    <row r="408" spans="1:11" x14ac:dyDescent="0.3">
      <c r="A408" t="s">
        <v>2309</v>
      </c>
      <c r="B408">
        <v>407</v>
      </c>
      <c r="C408" t="s">
        <v>1677</v>
      </c>
      <c r="D408">
        <v>24</v>
      </c>
      <c r="E408" s="21">
        <v>34307</v>
      </c>
      <c r="F408" s="21">
        <v>1105654</v>
      </c>
      <c r="G408">
        <v>0.109</v>
      </c>
      <c r="H408">
        <v>20</v>
      </c>
      <c r="I408">
        <v>609</v>
      </c>
      <c r="J408">
        <v>15</v>
      </c>
      <c r="K408" s="21">
        <v>31624</v>
      </c>
    </row>
    <row r="409" spans="1:11" x14ac:dyDescent="0.3">
      <c r="A409" t="s">
        <v>2309</v>
      </c>
      <c r="B409">
        <v>408</v>
      </c>
      <c r="C409" t="s">
        <v>1678</v>
      </c>
      <c r="D409">
        <v>23</v>
      </c>
      <c r="E409" s="21">
        <v>97802</v>
      </c>
      <c r="F409" s="21">
        <v>1188979</v>
      </c>
      <c r="G409">
        <v>8.8999999999999996E-2</v>
      </c>
      <c r="H409">
        <v>25</v>
      </c>
      <c r="I409">
        <v>789</v>
      </c>
      <c r="J409">
        <v>1</v>
      </c>
      <c r="K409" s="21">
        <v>4138</v>
      </c>
    </row>
    <row r="410" spans="1:11" x14ac:dyDescent="0.3">
      <c r="A410" t="s">
        <v>2309</v>
      </c>
      <c r="B410">
        <v>409</v>
      </c>
      <c r="C410" t="s">
        <v>1679</v>
      </c>
      <c r="D410">
        <v>54</v>
      </c>
      <c r="E410" s="21">
        <v>63850</v>
      </c>
      <c r="F410" s="21">
        <v>670259</v>
      </c>
      <c r="G410">
        <v>9.1999999999999998E-2</v>
      </c>
      <c r="H410">
        <v>30</v>
      </c>
      <c r="I410">
        <v>712</v>
      </c>
      <c r="J410">
        <v>3</v>
      </c>
      <c r="K410" s="21">
        <v>29045</v>
      </c>
    </row>
    <row r="411" spans="1:11" x14ac:dyDescent="0.3">
      <c r="A411" t="s">
        <v>2309</v>
      </c>
      <c r="B411">
        <v>410</v>
      </c>
      <c r="C411" t="s">
        <v>1680</v>
      </c>
      <c r="D411">
        <v>62</v>
      </c>
      <c r="E411" s="21">
        <v>94585</v>
      </c>
      <c r="F411" s="21">
        <v>2389910</v>
      </c>
      <c r="G411">
        <v>0.106</v>
      </c>
      <c r="H411">
        <v>15</v>
      </c>
      <c r="I411">
        <v>779</v>
      </c>
      <c r="J411">
        <v>7</v>
      </c>
      <c r="K411" s="21">
        <v>8412</v>
      </c>
    </row>
    <row r="412" spans="1:11" x14ac:dyDescent="0.3">
      <c r="A412" t="s">
        <v>2309</v>
      </c>
      <c r="B412">
        <v>411</v>
      </c>
      <c r="C412" t="s">
        <v>1681</v>
      </c>
      <c r="D412">
        <v>63</v>
      </c>
      <c r="E412" s="21">
        <v>87338</v>
      </c>
      <c r="F412" s="21">
        <v>1235882</v>
      </c>
      <c r="G412">
        <v>9.2999999999999999E-2</v>
      </c>
      <c r="H412">
        <v>10</v>
      </c>
      <c r="I412">
        <v>761</v>
      </c>
      <c r="J412">
        <v>6</v>
      </c>
      <c r="K412" s="21">
        <v>6606</v>
      </c>
    </row>
    <row r="413" spans="1:11" x14ac:dyDescent="0.3">
      <c r="A413" t="s">
        <v>2309</v>
      </c>
      <c r="B413">
        <v>412</v>
      </c>
      <c r="C413" t="s">
        <v>1682</v>
      </c>
      <c r="D413">
        <v>25</v>
      </c>
      <c r="E413" s="21">
        <v>71263</v>
      </c>
      <c r="F413" s="21">
        <v>512770</v>
      </c>
      <c r="G413">
        <v>0.114</v>
      </c>
      <c r="H413">
        <v>15</v>
      </c>
      <c r="I413">
        <v>747</v>
      </c>
      <c r="J413">
        <v>5</v>
      </c>
      <c r="K413" s="21">
        <v>36113</v>
      </c>
    </row>
    <row r="414" spans="1:11" x14ac:dyDescent="0.3">
      <c r="A414" t="s">
        <v>2309</v>
      </c>
      <c r="B414">
        <v>413</v>
      </c>
      <c r="C414" t="s">
        <v>1683</v>
      </c>
      <c r="D414">
        <v>52</v>
      </c>
      <c r="E414" s="21">
        <v>60577</v>
      </c>
      <c r="F414" s="21">
        <v>2440704</v>
      </c>
      <c r="G414">
        <v>8.3000000000000004E-2</v>
      </c>
      <c r="H414">
        <v>20</v>
      </c>
      <c r="I414">
        <v>692</v>
      </c>
      <c r="J414">
        <v>7</v>
      </c>
      <c r="K414" s="21">
        <v>13325</v>
      </c>
    </row>
    <row r="415" spans="1:11" x14ac:dyDescent="0.3">
      <c r="A415" t="s">
        <v>2309</v>
      </c>
      <c r="B415">
        <v>414</v>
      </c>
      <c r="C415" t="s">
        <v>1684</v>
      </c>
      <c r="D415">
        <v>47</v>
      </c>
      <c r="E415" s="21">
        <v>51749</v>
      </c>
      <c r="F415" s="21">
        <v>1754360</v>
      </c>
      <c r="G415">
        <v>0.10100000000000001</v>
      </c>
      <c r="H415">
        <v>10</v>
      </c>
      <c r="I415">
        <v>664</v>
      </c>
      <c r="J415">
        <v>4</v>
      </c>
      <c r="K415" s="21">
        <v>14553</v>
      </c>
    </row>
    <row r="416" spans="1:11" x14ac:dyDescent="0.3">
      <c r="A416" t="s">
        <v>2309</v>
      </c>
      <c r="B416">
        <v>415</v>
      </c>
      <c r="C416" t="s">
        <v>1685</v>
      </c>
      <c r="D416">
        <v>59</v>
      </c>
      <c r="E416" s="21">
        <v>44227</v>
      </c>
      <c r="F416" s="21">
        <v>1816034</v>
      </c>
      <c r="G416">
        <v>9.6000000000000002E-2</v>
      </c>
      <c r="H416">
        <v>10</v>
      </c>
      <c r="I416">
        <v>718</v>
      </c>
      <c r="J416">
        <v>2</v>
      </c>
      <c r="K416" s="21">
        <v>4049</v>
      </c>
    </row>
    <row r="417" spans="1:11" x14ac:dyDescent="0.3">
      <c r="A417" t="s">
        <v>2309</v>
      </c>
      <c r="B417">
        <v>416</v>
      </c>
      <c r="C417" t="s">
        <v>1686</v>
      </c>
      <c r="D417">
        <v>40</v>
      </c>
      <c r="E417" s="21">
        <v>67721</v>
      </c>
      <c r="F417" s="21">
        <v>2234469</v>
      </c>
      <c r="G417">
        <v>0.11600000000000001</v>
      </c>
      <c r="H417">
        <v>25</v>
      </c>
      <c r="I417">
        <v>708</v>
      </c>
      <c r="J417">
        <v>8</v>
      </c>
      <c r="K417" s="21">
        <v>6147</v>
      </c>
    </row>
    <row r="418" spans="1:11" x14ac:dyDescent="0.3">
      <c r="A418" t="s">
        <v>2309</v>
      </c>
      <c r="B418">
        <v>417</v>
      </c>
      <c r="C418" t="s">
        <v>1687</v>
      </c>
      <c r="D418">
        <v>27</v>
      </c>
      <c r="E418" s="21">
        <v>56517</v>
      </c>
      <c r="F418" s="21">
        <v>1348590</v>
      </c>
      <c r="G418">
        <v>0.104</v>
      </c>
      <c r="H418">
        <v>15</v>
      </c>
      <c r="I418">
        <v>711</v>
      </c>
      <c r="J418">
        <v>11</v>
      </c>
      <c r="K418" s="21">
        <v>34103</v>
      </c>
    </row>
    <row r="419" spans="1:11" x14ac:dyDescent="0.3">
      <c r="A419" t="s">
        <v>2309</v>
      </c>
      <c r="B419">
        <v>418</v>
      </c>
      <c r="C419" t="s">
        <v>1688</v>
      </c>
      <c r="D419">
        <v>37</v>
      </c>
      <c r="E419" s="21">
        <v>43883</v>
      </c>
      <c r="F419" s="21">
        <v>1036477</v>
      </c>
      <c r="G419">
        <v>0.1</v>
      </c>
      <c r="H419">
        <v>20</v>
      </c>
      <c r="I419">
        <v>650</v>
      </c>
      <c r="J419">
        <v>7</v>
      </c>
      <c r="K419" s="21">
        <v>48470</v>
      </c>
    </row>
    <row r="420" spans="1:11" x14ac:dyDescent="0.3">
      <c r="A420" t="s">
        <v>2309</v>
      </c>
      <c r="B420">
        <v>419</v>
      </c>
      <c r="C420" t="s">
        <v>1689</v>
      </c>
      <c r="D420">
        <v>29</v>
      </c>
      <c r="E420" s="21">
        <v>20174</v>
      </c>
      <c r="F420" s="21">
        <v>1538128</v>
      </c>
      <c r="G420">
        <v>8.4000000000000005E-2</v>
      </c>
      <c r="H420">
        <v>25</v>
      </c>
      <c r="I420">
        <v>643</v>
      </c>
      <c r="J420">
        <v>12</v>
      </c>
      <c r="K420" s="21">
        <v>22982</v>
      </c>
    </row>
    <row r="421" spans="1:11" x14ac:dyDescent="0.3">
      <c r="A421" t="s">
        <v>2309</v>
      </c>
      <c r="B421">
        <v>420</v>
      </c>
      <c r="C421" t="s">
        <v>1690</v>
      </c>
      <c r="D421">
        <v>53</v>
      </c>
      <c r="E421" s="21">
        <v>84867</v>
      </c>
      <c r="F421" s="21">
        <v>982483</v>
      </c>
      <c r="G421">
        <v>0.11899999999999999</v>
      </c>
      <c r="H421">
        <v>15</v>
      </c>
      <c r="I421">
        <v>611</v>
      </c>
      <c r="J421">
        <v>9</v>
      </c>
      <c r="K421" s="21">
        <v>6005</v>
      </c>
    </row>
    <row r="422" spans="1:11" x14ac:dyDescent="0.3">
      <c r="A422" t="s">
        <v>2309</v>
      </c>
      <c r="B422">
        <v>421</v>
      </c>
      <c r="C422" t="s">
        <v>1691</v>
      </c>
      <c r="D422">
        <v>43</v>
      </c>
      <c r="E422" s="21">
        <v>68508</v>
      </c>
      <c r="F422" s="21">
        <v>2105899</v>
      </c>
      <c r="G422">
        <v>8.1000000000000003E-2</v>
      </c>
      <c r="H422">
        <v>10</v>
      </c>
      <c r="I422">
        <v>817</v>
      </c>
      <c r="J422">
        <v>4</v>
      </c>
      <c r="K422" s="21">
        <v>10471</v>
      </c>
    </row>
    <row r="423" spans="1:11" x14ac:dyDescent="0.3">
      <c r="A423" t="s">
        <v>2309</v>
      </c>
      <c r="B423">
        <v>422</v>
      </c>
      <c r="C423" t="s">
        <v>1692</v>
      </c>
      <c r="D423">
        <v>53</v>
      </c>
      <c r="E423" s="21">
        <v>95892</v>
      </c>
      <c r="F423" s="21">
        <v>1744925</v>
      </c>
      <c r="G423">
        <v>8.4000000000000005E-2</v>
      </c>
      <c r="H423">
        <v>25</v>
      </c>
      <c r="I423">
        <v>702</v>
      </c>
      <c r="J423">
        <v>7</v>
      </c>
      <c r="K423" s="21">
        <v>38007</v>
      </c>
    </row>
    <row r="424" spans="1:11" x14ac:dyDescent="0.3">
      <c r="A424" t="s">
        <v>2309</v>
      </c>
      <c r="B424">
        <v>423</v>
      </c>
      <c r="C424" t="s">
        <v>1693</v>
      </c>
      <c r="D424">
        <v>60</v>
      </c>
      <c r="E424" s="21">
        <v>87556</v>
      </c>
      <c r="F424" s="21">
        <v>1861917</v>
      </c>
      <c r="G424">
        <v>0.109</v>
      </c>
      <c r="H424">
        <v>10</v>
      </c>
      <c r="I424">
        <v>700</v>
      </c>
      <c r="J424">
        <v>9</v>
      </c>
      <c r="K424" s="21">
        <v>42727</v>
      </c>
    </row>
    <row r="425" spans="1:11" x14ac:dyDescent="0.3">
      <c r="A425" t="s">
        <v>2309</v>
      </c>
      <c r="B425">
        <v>424</v>
      </c>
      <c r="C425" t="s">
        <v>1694</v>
      </c>
      <c r="D425">
        <v>28</v>
      </c>
      <c r="E425" s="21">
        <v>44486</v>
      </c>
      <c r="F425" s="21">
        <v>807357</v>
      </c>
      <c r="G425">
        <v>0.1</v>
      </c>
      <c r="H425">
        <v>10</v>
      </c>
      <c r="I425">
        <v>647</v>
      </c>
      <c r="J425">
        <v>9</v>
      </c>
      <c r="K425" s="21">
        <v>44162</v>
      </c>
    </row>
    <row r="426" spans="1:11" x14ac:dyDescent="0.3">
      <c r="A426" t="s">
        <v>2309</v>
      </c>
      <c r="B426">
        <v>425</v>
      </c>
      <c r="C426" t="s">
        <v>1695</v>
      </c>
      <c r="D426">
        <v>43</v>
      </c>
      <c r="E426" s="21">
        <v>106212</v>
      </c>
      <c r="F426" s="21">
        <v>1411002</v>
      </c>
      <c r="G426">
        <v>0.115</v>
      </c>
      <c r="H426">
        <v>25</v>
      </c>
      <c r="I426">
        <v>765</v>
      </c>
      <c r="J426">
        <v>11</v>
      </c>
      <c r="K426" s="21">
        <v>41249</v>
      </c>
    </row>
    <row r="427" spans="1:11" x14ac:dyDescent="0.3">
      <c r="A427" t="s">
        <v>2309</v>
      </c>
      <c r="B427">
        <v>426</v>
      </c>
      <c r="C427" t="s">
        <v>1696</v>
      </c>
      <c r="D427">
        <v>49</v>
      </c>
      <c r="E427" s="21">
        <v>74585</v>
      </c>
      <c r="F427" s="21">
        <v>1474326</v>
      </c>
      <c r="G427">
        <v>0.10299999999999999</v>
      </c>
      <c r="H427">
        <v>30</v>
      </c>
      <c r="I427">
        <v>725</v>
      </c>
      <c r="J427">
        <v>14</v>
      </c>
      <c r="K427" s="21">
        <v>3622</v>
      </c>
    </row>
    <row r="428" spans="1:11" x14ac:dyDescent="0.3">
      <c r="A428" t="s">
        <v>2309</v>
      </c>
      <c r="B428">
        <v>427</v>
      </c>
      <c r="C428" t="s">
        <v>1697</v>
      </c>
      <c r="D428">
        <v>59</v>
      </c>
      <c r="E428" s="21">
        <v>62912</v>
      </c>
      <c r="F428" s="21">
        <v>1841177</v>
      </c>
      <c r="G428">
        <v>8.4000000000000005E-2</v>
      </c>
      <c r="H428">
        <v>30</v>
      </c>
      <c r="I428">
        <v>837</v>
      </c>
      <c r="J428">
        <v>7</v>
      </c>
      <c r="K428" s="21">
        <v>9714</v>
      </c>
    </row>
    <row r="429" spans="1:11" x14ac:dyDescent="0.3">
      <c r="A429" t="s">
        <v>2309</v>
      </c>
      <c r="B429">
        <v>428</v>
      </c>
      <c r="C429" t="s">
        <v>1698</v>
      </c>
      <c r="D429">
        <v>22</v>
      </c>
      <c r="E429" s="21">
        <v>114697</v>
      </c>
      <c r="F429" s="21">
        <v>1538861</v>
      </c>
      <c r="G429">
        <v>8.8999999999999996E-2</v>
      </c>
      <c r="H429">
        <v>20</v>
      </c>
      <c r="I429">
        <v>612</v>
      </c>
      <c r="J429">
        <v>0</v>
      </c>
      <c r="K429" s="21">
        <v>25245</v>
      </c>
    </row>
    <row r="430" spans="1:11" x14ac:dyDescent="0.3">
      <c r="A430" t="s">
        <v>2309</v>
      </c>
      <c r="B430">
        <v>429</v>
      </c>
      <c r="C430" t="s">
        <v>1699</v>
      </c>
      <c r="D430">
        <v>49</v>
      </c>
      <c r="E430" s="21">
        <v>79148</v>
      </c>
      <c r="F430" s="21">
        <v>2234802</v>
      </c>
      <c r="G430">
        <v>8.4000000000000005E-2</v>
      </c>
      <c r="H430">
        <v>15</v>
      </c>
      <c r="I430">
        <v>714</v>
      </c>
      <c r="J430">
        <v>9</v>
      </c>
      <c r="K430" s="21">
        <v>37222</v>
      </c>
    </row>
    <row r="431" spans="1:11" x14ac:dyDescent="0.3">
      <c r="A431" t="s">
        <v>2309</v>
      </c>
      <c r="B431">
        <v>430</v>
      </c>
      <c r="C431" t="s">
        <v>1700</v>
      </c>
      <c r="D431">
        <v>64</v>
      </c>
      <c r="E431" s="21">
        <v>74274</v>
      </c>
      <c r="F431" s="21">
        <v>1065686</v>
      </c>
      <c r="G431">
        <v>9.0999999999999998E-2</v>
      </c>
      <c r="H431">
        <v>15</v>
      </c>
      <c r="I431">
        <v>665</v>
      </c>
      <c r="J431">
        <v>12</v>
      </c>
      <c r="K431" s="21">
        <v>33098</v>
      </c>
    </row>
    <row r="432" spans="1:11" x14ac:dyDescent="0.3">
      <c r="A432" t="s">
        <v>2309</v>
      </c>
      <c r="B432">
        <v>431</v>
      </c>
      <c r="C432" t="s">
        <v>1701</v>
      </c>
      <c r="D432">
        <v>48</v>
      </c>
      <c r="E432" s="21">
        <v>50965</v>
      </c>
      <c r="F432" s="21">
        <v>1929540</v>
      </c>
      <c r="G432">
        <v>0.09</v>
      </c>
      <c r="H432">
        <v>15</v>
      </c>
      <c r="I432">
        <v>769</v>
      </c>
      <c r="J432">
        <v>12</v>
      </c>
      <c r="K432" s="21">
        <v>11093</v>
      </c>
    </row>
    <row r="433" spans="1:11" x14ac:dyDescent="0.3">
      <c r="A433" t="s">
        <v>2309</v>
      </c>
      <c r="B433">
        <v>432</v>
      </c>
      <c r="C433" t="s">
        <v>1702</v>
      </c>
      <c r="D433">
        <v>58</v>
      </c>
      <c r="E433" s="21">
        <v>36163</v>
      </c>
      <c r="F433" s="21">
        <v>2142464</v>
      </c>
      <c r="G433">
        <v>0.09</v>
      </c>
      <c r="H433">
        <v>30</v>
      </c>
      <c r="I433">
        <v>769</v>
      </c>
      <c r="J433">
        <v>14</v>
      </c>
      <c r="K433" s="21">
        <v>31440</v>
      </c>
    </row>
    <row r="434" spans="1:11" x14ac:dyDescent="0.3">
      <c r="A434" t="s">
        <v>2309</v>
      </c>
      <c r="B434">
        <v>433</v>
      </c>
      <c r="C434" t="s">
        <v>1703</v>
      </c>
      <c r="D434">
        <v>58</v>
      </c>
      <c r="E434" s="21">
        <v>69719</v>
      </c>
      <c r="F434" s="21">
        <v>2120376</v>
      </c>
      <c r="G434">
        <v>0.109</v>
      </c>
      <c r="H434">
        <v>25</v>
      </c>
      <c r="I434">
        <v>738</v>
      </c>
      <c r="J434">
        <v>0</v>
      </c>
      <c r="K434" s="21">
        <v>19015</v>
      </c>
    </row>
    <row r="435" spans="1:11" x14ac:dyDescent="0.3">
      <c r="A435" t="s">
        <v>2309</v>
      </c>
      <c r="B435">
        <v>434</v>
      </c>
      <c r="C435" t="s">
        <v>1704</v>
      </c>
      <c r="D435">
        <v>58</v>
      </c>
      <c r="E435" s="21">
        <v>103569</v>
      </c>
      <c r="F435" s="21">
        <v>2357595</v>
      </c>
      <c r="G435">
        <v>8.4000000000000005E-2</v>
      </c>
      <c r="H435">
        <v>15</v>
      </c>
      <c r="I435">
        <v>791</v>
      </c>
      <c r="J435">
        <v>0</v>
      </c>
      <c r="K435" s="21">
        <v>11012</v>
      </c>
    </row>
    <row r="436" spans="1:11" x14ac:dyDescent="0.3">
      <c r="A436" t="s">
        <v>2309</v>
      </c>
      <c r="B436">
        <v>435</v>
      </c>
      <c r="C436" t="s">
        <v>1705</v>
      </c>
      <c r="D436">
        <v>44</v>
      </c>
      <c r="E436" s="21">
        <v>118268</v>
      </c>
      <c r="F436" s="21">
        <v>777295</v>
      </c>
      <c r="G436">
        <v>8.6999999999999994E-2</v>
      </c>
      <c r="H436">
        <v>10</v>
      </c>
      <c r="I436">
        <v>714</v>
      </c>
      <c r="J436">
        <v>1</v>
      </c>
      <c r="K436" s="21">
        <v>11079</v>
      </c>
    </row>
    <row r="437" spans="1:11" x14ac:dyDescent="0.3">
      <c r="A437" t="s">
        <v>2309</v>
      </c>
      <c r="B437">
        <v>436</v>
      </c>
      <c r="C437" t="s">
        <v>1706</v>
      </c>
      <c r="D437">
        <v>26</v>
      </c>
      <c r="E437" s="21">
        <v>87253</v>
      </c>
      <c r="F437" s="21">
        <v>2282811</v>
      </c>
      <c r="G437">
        <v>0.113</v>
      </c>
      <c r="H437">
        <v>15</v>
      </c>
      <c r="I437">
        <v>777</v>
      </c>
      <c r="J437">
        <v>9</v>
      </c>
      <c r="K437" s="21">
        <v>9181</v>
      </c>
    </row>
    <row r="438" spans="1:11" x14ac:dyDescent="0.3">
      <c r="A438" t="s">
        <v>2309</v>
      </c>
      <c r="B438">
        <v>437</v>
      </c>
      <c r="C438" t="s">
        <v>1707</v>
      </c>
      <c r="D438">
        <v>34</v>
      </c>
      <c r="E438" s="21">
        <v>83266</v>
      </c>
      <c r="F438" s="21">
        <v>1222501</v>
      </c>
      <c r="G438">
        <v>0.10299999999999999</v>
      </c>
      <c r="H438">
        <v>30</v>
      </c>
      <c r="I438">
        <v>701</v>
      </c>
      <c r="J438">
        <v>5</v>
      </c>
      <c r="K438" s="21">
        <v>25158</v>
      </c>
    </row>
    <row r="439" spans="1:11" x14ac:dyDescent="0.3">
      <c r="A439" t="s">
        <v>2309</v>
      </c>
      <c r="B439">
        <v>438</v>
      </c>
      <c r="C439" t="s">
        <v>1708</v>
      </c>
      <c r="D439">
        <v>38</v>
      </c>
      <c r="E439" s="21">
        <v>76523</v>
      </c>
      <c r="F439" s="21">
        <v>1274383</v>
      </c>
      <c r="G439">
        <v>9.1999999999999998E-2</v>
      </c>
      <c r="H439">
        <v>15</v>
      </c>
      <c r="I439">
        <v>666</v>
      </c>
      <c r="J439">
        <v>3</v>
      </c>
      <c r="K439" s="21">
        <v>29786</v>
      </c>
    </row>
    <row r="440" spans="1:11" x14ac:dyDescent="0.3">
      <c r="A440" t="s">
        <v>2309</v>
      </c>
      <c r="B440">
        <v>439</v>
      </c>
      <c r="C440" t="s">
        <v>1709</v>
      </c>
      <c r="D440">
        <v>51</v>
      </c>
      <c r="E440" s="21">
        <v>79254</v>
      </c>
      <c r="F440" s="21">
        <v>1957672</v>
      </c>
      <c r="G440">
        <v>0.09</v>
      </c>
      <c r="H440">
        <v>20</v>
      </c>
      <c r="I440">
        <v>765</v>
      </c>
      <c r="J440">
        <v>5</v>
      </c>
      <c r="K440" s="21">
        <v>30728</v>
      </c>
    </row>
    <row r="441" spans="1:11" x14ac:dyDescent="0.3">
      <c r="A441" t="s">
        <v>2309</v>
      </c>
      <c r="B441">
        <v>440</v>
      </c>
      <c r="C441" t="s">
        <v>1710</v>
      </c>
      <c r="D441">
        <v>49</v>
      </c>
      <c r="E441" s="21">
        <v>83672</v>
      </c>
      <c r="F441" s="21">
        <v>2150936</v>
      </c>
      <c r="G441">
        <v>0.113</v>
      </c>
      <c r="H441">
        <v>30</v>
      </c>
      <c r="I441">
        <v>653</v>
      </c>
      <c r="J441">
        <v>0</v>
      </c>
      <c r="K441" s="21">
        <v>29741</v>
      </c>
    </row>
    <row r="442" spans="1:11" x14ac:dyDescent="0.3">
      <c r="A442" t="s">
        <v>2309</v>
      </c>
      <c r="B442">
        <v>441</v>
      </c>
      <c r="C442" t="s">
        <v>1711</v>
      </c>
      <c r="D442">
        <v>22</v>
      </c>
      <c r="E442" s="21">
        <v>39278</v>
      </c>
      <c r="F442" s="21">
        <v>1224847</v>
      </c>
      <c r="G442">
        <v>0.10100000000000001</v>
      </c>
      <c r="H442">
        <v>15</v>
      </c>
      <c r="I442">
        <v>849</v>
      </c>
      <c r="J442">
        <v>9</v>
      </c>
      <c r="K442" s="21">
        <v>9183</v>
      </c>
    </row>
    <row r="443" spans="1:11" x14ac:dyDescent="0.3">
      <c r="A443" t="s">
        <v>2309</v>
      </c>
      <c r="B443">
        <v>442</v>
      </c>
      <c r="C443" t="s">
        <v>1712</v>
      </c>
      <c r="D443">
        <v>23</v>
      </c>
      <c r="E443" s="21">
        <v>80523</v>
      </c>
      <c r="F443" s="21">
        <v>1930280</v>
      </c>
      <c r="G443">
        <v>0.11799999999999999</v>
      </c>
      <c r="H443">
        <v>25</v>
      </c>
      <c r="I443">
        <v>825</v>
      </c>
      <c r="J443">
        <v>15</v>
      </c>
      <c r="K443" s="21">
        <v>19157</v>
      </c>
    </row>
    <row r="444" spans="1:11" x14ac:dyDescent="0.3">
      <c r="A444" t="s">
        <v>2309</v>
      </c>
      <c r="B444">
        <v>443</v>
      </c>
      <c r="C444" t="s">
        <v>1713</v>
      </c>
      <c r="D444">
        <v>29</v>
      </c>
      <c r="E444" s="21">
        <v>39992</v>
      </c>
      <c r="F444" s="21">
        <v>1754960</v>
      </c>
      <c r="G444">
        <v>0.108</v>
      </c>
      <c r="H444">
        <v>25</v>
      </c>
      <c r="I444">
        <v>659</v>
      </c>
      <c r="J444">
        <v>15</v>
      </c>
      <c r="K444" s="21">
        <v>34904</v>
      </c>
    </row>
    <row r="445" spans="1:11" x14ac:dyDescent="0.3">
      <c r="A445" t="s">
        <v>2309</v>
      </c>
      <c r="B445">
        <v>444</v>
      </c>
      <c r="C445" t="s">
        <v>1714</v>
      </c>
      <c r="D445">
        <v>61</v>
      </c>
      <c r="E445" s="21">
        <v>112550</v>
      </c>
      <c r="F445" s="21">
        <v>1643932</v>
      </c>
      <c r="G445">
        <v>0.111</v>
      </c>
      <c r="H445">
        <v>20</v>
      </c>
      <c r="I445">
        <v>707</v>
      </c>
      <c r="J445">
        <v>11</v>
      </c>
      <c r="K445" s="21">
        <v>11525</v>
      </c>
    </row>
    <row r="446" spans="1:11" x14ac:dyDescent="0.3">
      <c r="A446" t="s">
        <v>2309</v>
      </c>
      <c r="B446">
        <v>445</v>
      </c>
      <c r="C446" t="s">
        <v>1715</v>
      </c>
      <c r="D446">
        <v>25</v>
      </c>
      <c r="E446" s="21">
        <v>30576</v>
      </c>
      <c r="F446" s="21">
        <v>1524896</v>
      </c>
      <c r="G446">
        <v>0.09</v>
      </c>
      <c r="H446">
        <v>10</v>
      </c>
      <c r="I446">
        <v>845</v>
      </c>
      <c r="J446">
        <v>3</v>
      </c>
      <c r="K446" s="21">
        <v>20851</v>
      </c>
    </row>
    <row r="447" spans="1:11" x14ac:dyDescent="0.3">
      <c r="A447" t="s">
        <v>2309</v>
      </c>
      <c r="B447">
        <v>446</v>
      </c>
      <c r="C447" t="s">
        <v>1716</v>
      </c>
      <c r="D447">
        <v>37</v>
      </c>
      <c r="E447" s="21">
        <v>118408</v>
      </c>
      <c r="F447" s="21">
        <v>1494819</v>
      </c>
      <c r="G447">
        <v>0.107</v>
      </c>
      <c r="H447">
        <v>30</v>
      </c>
      <c r="I447">
        <v>648</v>
      </c>
      <c r="J447">
        <v>0</v>
      </c>
      <c r="K447" s="21">
        <v>41812</v>
      </c>
    </row>
    <row r="448" spans="1:11" x14ac:dyDescent="0.3">
      <c r="A448" t="s">
        <v>2309</v>
      </c>
      <c r="B448">
        <v>447</v>
      </c>
      <c r="C448" t="s">
        <v>1717</v>
      </c>
      <c r="D448">
        <v>47</v>
      </c>
      <c r="E448" s="21">
        <v>28024</v>
      </c>
      <c r="F448" s="21">
        <v>1089095</v>
      </c>
      <c r="G448">
        <v>9.8000000000000004E-2</v>
      </c>
      <c r="H448">
        <v>15</v>
      </c>
      <c r="I448">
        <v>762</v>
      </c>
      <c r="J448">
        <v>11</v>
      </c>
      <c r="K448" s="21">
        <v>42521</v>
      </c>
    </row>
    <row r="449" spans="1:11" x14ac:dyDescent="0.3">
      <c r="A449" t="s">
        <v>2309</v>
      </c>
      <c r="B449">
        <v>448</v>
      </c>
      <c r="C449" t="s">
        <v>1718</v>
      </c>
      <c r="D449">
        <v>40</v>
      </c>
      <c r="E449" s="21">
        <v>40362</v>
      </c>
      <c r="F449" s="21">
        <v>2324116</v>
      </c>
      <c r="G449">
        <v>8.8999999999999996E-2</v>
      </c>
      <c r="H449">
        <v>20</v>
      </c>
      <c r="I449">
        <v>628</v>
      </c>
      <c r="J449">
        <v>9</v>
      </c>
      <c r="K449" s="21">
        <v>10555</v>
      </c>
    </row>
    <row r="450" spans="1:11" x14ac:dyDescent="0.3">
      <c r="A450" t="s">
        <v>2309</v>
      </c>
      <c r="B450">
        <v>449</v>
      </c>
      <c r="C450" t="s">
        <v>1719</v>
      </c>
      <c r="D450">
        <v>26</v>
      </c>
      <c r="E450" s="21">
        <v>100087</v>
      </c>
      <c r="F450" s="21">
        <v>1573383</v>
      </c>
      <c r="G450">
        <v>8.5000000000000006E-2</v>
      </c>
      <c r="H450">
        <v>15</v>
      </c>
      <c r="I450">
        <v>626</v>
      </c>
      <c r="J450">
        <v>7</v>
      </c>
      <c r="K450" s="21">
        <v>48031</v>
      </c>
    </row>
    <row r="451" spans="1:11" x14ac:dyDescent="0.3">
      <c r="A451" t="s">
        <v>2309</v>
      </c>
      <c r="B451">
        <v>450</v>
      </c>
      <c r="C451" t="s">
        <v>1720</v>
      </c>
      <c r="D451">
        <v>30</v>
      </c>
      <c r="E451" s="21">
        <v>79535</v>
      </c>
      <c r="F451" s="21">
        <v>1115420</v>
      </c>
      <c r="G451">
        <v>0.08</v>
      </c>
      <c r="H451">
        <v>15</v>
      </c>
      <c r="I451">
        <v>682</v>
      </c>
      <c r="J451">
        <v>9</v>
      </c>
      <c r="K451" s="21">
        <v>49616</v>
      </c>
    </row>
    <row r="452" spans="1:11" x14ac:dyDescent="0.3">
      <c r="A452" t="s">
        <v>2309</v>
      </c>
      <c r="B452">
        <v>451</v>
      </c>
      <c r="C452" t="s">
        <v>1721</v>
      </c>
      <c r="D452">
        <v>37</v>
      </c>
      <c r="E452" s="21">
        <v>77622</v>
      </c>
      <c r="F452" s="21">
        <v>962942</v>
      </c>
      <c r="G452">
        <v>9.6000000000000002E-2</v>
      </c>
      <c r="H452">
        <v>10</v>
      </c>
      <c r="I452">
        <v>634</v>
      </c>
      <c r="J452">
        <v>15</v>
      </c>
      <c r="K452" s="21">
        <v>45168</v>
      </c>
    </row>
    <row r="453" spans="1:11" x14ac:dyDescent="0.3">
      <c r="A453" t="s">
        <v>2309</v>
      </c>
      <c r="B453">
        <v>452</v>
      </c>
      <c r="C453" t="s">
        <v>1722</v>
      </c>
      <c r="D453">
        <v>29</v>
      </c>
      <c r="E453" s="21">
        <v>106420</v>
      </c>
      <c r="F453" s="21">
        <v>1222952</v>
      </c>
      <c r="G453">
        <v>8.4000000000000005E-2</v>
      </c>
      <c r="H453">
        <v>10</v>
      </c>
      <c r="I453">
        <v>735</v>
      </c>
      <c r="J453">
        <v>11</v>
      </c>
      <c r="K453" s="21">
        <v>28917</v>
      </c>
    </row>
    <row r="454" spans="1:11" x14ac:dyDescent="0.3">
      <c r="A454" t="s">
        <v>2309</v>
      </c>
      <c r="B454">
        <v>453</v>
      </c>
      <c r="C454" t="s">
        <v>1723</v>
      </c>
      <c r="D454">
        <v>27</v>
      </c>
      <c r="E454" s="21">
        <v>72508</v>
      </c>
      <c r="F454" s="21">
        <v>2226796</v>
      </c>
      <c r="G454">
        <v>0.109</v>
      </c>
      <c r="H454">
        <v>30</v>
      </c>
      <c r="I454">
        <v>609</v>
      </c>
      <c r="J454">
        <v>0</v>
      </c>
      <c r="K454" s="21">
        <v>47881</v>
      </c>
    </row>
    <row r="455" spans="1:11" x14ac:dyDescent="0.3">
      <c r="A455" t="s">
        <v>2309</v>
      </c>
      <c r="B455">
        <v>454</v>
      </c>
      <c r="C455" t="s">
        <v>1724</v>
      </c>
      <c r="D455">
        <v>26</v>
      </c>
      <c r="E455" s="21">
        <v>51894</v>
      </c>
      <c r="F455" s="21">
        <v>690128</v>
      </c>
      <c r="G455">
        <v>9.7000000000000003E-2</v>
      </c>
      <c r="H455">
        <v>25</v>
      </c>
      <c r="I455">
        <v>610</v>
      </c>
      <c r="J455">
        <v>2</v>
      </c>
      <c r="K455" s="21">
        <v>48854</v>
      </c>
    </row>
    <row r="456" spans="1:11" x14ac:dyDescent="0.3">
      <c r="A456" t="s">
        <v>2309</v>
      </c>
      <c r="B456">
        <v>455</v>
      </c>
      <c r="C456" t="s">
        <v>1725</v>
      </c>
      <c r="D456">
        <v>31</v>
      </c>
      <c r="E456" s="21">
        <v>75366</v>
      </c>
      <c r="F456" s="21">
        <v>1825108</v>
      </c>
      <c r="G456">
        <v>0.107</v>
      </c>
      <c r="H456">
        <v>30</v>
      </c>
      <c r="I456">
        <v>662</v>
      </c>
      <c r="J456">
        <v>15</v>
      </c>
      <c r="K456" s="21">
        <v>9748</v>
      </c>
    </row>
    <row r="457" spans="1:11" x14ac:dyDescent="0.3">
      <c r="A457" t="s">
        <v>2309</v>
      </c>
      <c r="B457">
        <v>456</v>
      </c>
      <c r="C457" t="s">
        <v>1726</v>
      </c>
      <c r="D457">
        <v>20</v>
      </c>
      <c r="E457" s="21">
        <v>29913</v>
      </c>
      <c r="F457" s="21">
        <v>889185</v>
      </c>
      <c r="G457">
        <v>0.11899999999999999</v>
      </c>
      <c r="H457">
        <v>15</v>
      </c>
      <c r="I457">
        <v>818</v>
      </c>
      <c r="J457">
        <v>5</v>
      </c>
      <c r="K457" s="21">
        <v>28679</v>
      </c>
    </row>
    <row r="458" spans="1:11" x14ac:dyDescent="0.3">
      <c r="A458" t="s">
        <v>2309</v>
      </c>
      <c r="B458">
        <v>457</v>
      </c>
      <c r="C458" t="s">
        <v>1727</v>
      </c>
      <c r="D458">
        <v>52</v>
      </c>
      <c r="E458" s="21">
        <v>76971</v>
      </c>
      <c r="F458" s="21">
        <v>1691283</v>
      </c>
      <c r="G458">
        <v>0.113</v>
      </c>
      <c r="H458">
        <v>20</v>
      </c>
      <c r="I458">
        <v>676</v>
      </c>
      <c r="J458">
        <v>9</v>
      </c>
      <c r="K458" s="21">
        <v>44272</v>
      </c>
    </row>
    <row r="459" spans="1:11" x14ac:dyDescent="0.3">
      <c r="A459" t="s">
        <v>2309</v>
      </c>
      <c r="B459">
        <v>458</v>
      </c>
      <c r="C459" t="s">
        <v>1728</v>
      </c>
      <c r="D459">
        <v>54</v>
      </c>
      <c r="E459" s="21">
        <v>100126</v>
      </c>
      <c r="F459" s="21">
        <v>1676493</v>
      </c>
      <c r="G459">
        <v>8.7999999999999995E-2</v>
      </c>
      <c r="H459">
        <v>30</v>
      </c>
      <c r="I459">
        <v>672</v>
      </c>
      <c r="J459">
        <v>8</v>
      </c>
      <c r="K459" s="21">
        <v>39811</v>
      </c>
    </row>
    <row r="460" spans="1:11" x14ac:dyDescent="0.3">
      <c r="A460" t="s">
        <v>2309</v>
      </c>
      <c r="B460">
        <v>459</v>
      </c>
      <c r="C460" t="s">
        <v>1729</v>
      </c>
      <c r="D460">
        <v>58</v>
      </c>
      <c r="E460" s="21">
        <v>69060</v>
      </c>
      <c r="F460" s="21">
        <v>2184014</v>
      </c>
      <c r="G460">
        <v>0.113</v>
      </c>
      <c r="H460">
        <v>25</v>
      </c>
      <c r="I460">
        <v>791</v>
      </c>
      <c r="J460">
        <v>0</v>
      </c>
      <c r="K460" s="21">
        <v>6378</v>
      </c>
    </row>
    <row r="461" spans="1:11" x14ac:dyDescent="0.3">
      <c r="A461" t="s">
        <v>2309</v>
      </c>
      <c r="B461">
        <v>460</v>
      </c>
      <c r="C461" t="s">
        <v>1730</v>
      </c>
      <c r="D461">
        <v>42</v>
      </c>
      <c r="E461" s="21">
        <v>63336</v>
      </c>
      <c r="F461" s="21">
        <v>1169127</v>
      </c>
      <c r="G461">
        <v>0.11799999999999999</v>
      </c>
      <c r="H461">
        <v>30</v>
      </c>
      <c r="I461">
        <v>628</v>
      </c>
      <c r="J461">
        <v>15</v>
      </c>
      <c r="K461" s="21">
        <v>38226</v>
      </c>
    </row>
    <row r="462" spans="1:11" x14ac:dyDescent="0.3">
      <c r="A462" t="s">
        <v>2309</v>
      </c>
      <c r="B462">
        <v>461</v>
      </c>
      <c r="C462" t="s">
        <v>1731</v>
      </c>
      <c r="D462">
        <v>22</v>
      </c>
      <c r="E462" s="21">
        <v>76628</v>
      </c>
      <c r="F462" s="21">
        <v>866739</v>
      </c>
      <c r="G462">
        <v>0.109</v>
      </c>
      <c r="H462">
        <v>30</v>
      </c>
      <c r="I462">
        <v>820</v>
      </c>
      <c r="J462">
        <v>13</v>
      </c>
      <c r="K462" s="21">
        <v>43107</v>
      </c>
    </row>
    <row r="463" spans="1:11" x14ac:dyDescent="0.3">
      <c r="A463" t="s">
        <v>2309</v>
      </c>
      <c r="B463">
        <v>462</v>
      </c>
      <c r="C463" t="s">
        <v>1732</v>
      </c>
      <c r="D463">
        <v>55</v>
      </c>
      <c r="E463" s="21">
        <v>86314</v>
      </c>
      <c r="F463" s="21">
        <v>2283124</v>
      </c>
      <c r="G463">
        <v>0.09</v>
      </c>
      <c r="H463">
        <v>25</v>
      </c>
      <c r="I463">
        <v>790</v>
      </c>
      <c r="J463">
        <v>15</v>
      </c>
      <c r="K463" s="21">
        <v>20987</v>
      </c>
    </row>
    <row r="464" spans="1:11" x14ac:dyDescent="0.3">
      <c r="A464" t="s">
        <v>2309</v>
      </c>
      <c r="B464">
        <v>463</v>
      </c>
      <c r="C464" t="s">
        <v>1733</v>
      </c>
      <c r="D464">
        <v>39</v>
      </c>
      <c r="E464" s="21">
        <v>16997</v>
      </c>
      <c r="F464" s="21">
        <v>1234473</v>
      </c>
      <c r="G464">
        <v>9.5000000000000001E-2</v>
      </c>
      <c r="H464">
        <v>10</v>
      </c>
      <c r="I464">
        <v>681</v>
      </c>
      <c r="J464">
        <v>9</v>
      </c>
      <c r="K464" s="21">
        <v>16655</v>
      </c>
    </row>
    <row r="465" spans="1:11" x14ac:dyDescent="0.3">
      <c r="A465" t="s">
        <v>2309</v>
      </c>
      <c r="B465">
        <v>464</v>
      </c>
      <c r="C465" t="s">
        <v>1734</v>
      </c>
      <c r="D465">
        <v>60</v>
      </c>
      <c r="E465" s="21">
        <v>45054</v>
      </c>
      <c r="F465" s="21">
        <v>869926</v>
      </c>
      <c r="G465">
        <v>0.109</v>
      </c>
      <c r="H465">
        <v>10</v>
      </c>
      <c r="I465">
        <v>774</v>
      </c>
      <c r="J465">
        <v>9</v>
      </c>
      <c r="K465" s="21">
        <v>29855</v>
      </c>
    </row>
    <row r="466" spans="1:11" x14ac:dyDescent="0.3">
      <c r="A466" t="s">
        <v>2309</v>
      </c>
      <c r="B466">
        <v>465</v>
      </c>
      <c r="C466" t="s">
        <v>1735</v>
      </c>
      <c r="D466">
        <v>33</v>
      </c>
      <c r="E466" s="21">
        <v>23420</v>
      </c>
      <c r="F466" s="21">
        <v>607753</v>
      </c>
      <c r="G466">
        <v>8.5999999999999993E-2</v>
      </c>
      <c r="H466">
        <v>15</v>
      </c>
      <c r="I466">
        <v>619</v>
      </c>
      <c r="J466">
        <v>1</v>
      </c>
      <c r="K466" s="21">
        <v>6542</v>
      </c>
    </row>
    <row r="467" spans="1:11" x14ac:dyDescent="0.3">
      <c r="A467" t="s">
        <v>2309</v>
      </c>
      <c r="B467">
        <v>466</v>
      </c>
      <c r="C467" t="s">
        <v>1736</v>
      </c>
      <c r="D467">
        <v>31</v>
      </c>
      <c r="E467" s="21">
        <v>87561</v>
      </c>
      <c r="F467" s="21">
        <v>917534</v>
      </c>
      <c r="G467">
        <v>0.112</v>
      </c>
      <c r="H467">
        <v>10</v>
      </c>
      <c r="I467">
        <v>763</v>
      </c>
      <c r="J467">
        <v>7</v>
      </c>
      <c r="K467" s="21">
        <v>35989</v>
      </c>
    </row>
    <row r="468" spans="1:11" x14ac:dyDescent="0.3">
      <c r="A468" t="s">
        <v>2309</v>
      </c>
      <c r="B468">
        <v>467</v>
      </c>
      <c r="C468" t="s">
        <v>1737</v>
      </c>
      <c r="D468">
        <v>32</v>
      </c>
      <c r="E468" s="21">
        <v>100183</v>
      </c>
      <c r="F468" s="21">
        <v>708020</v>
      </c>
      <c r="G468">
        <v>0.09</v>
      </c>
      <c r="H468">
        <v>10</v>
      </c>
      <c r="I468">
        <v>745</v>
      </c>
      <c r="J468">
        <v>11</v>
      </c>
      <c r="K468" s="21">
        <v>14583</v>
      </c>
    </row>
    <row r="469" spans="1:11" x14ac:dyDescent="0.3">
      <c r="A469" t="s">
        <v>2309</v>
      </c>
      <c r="B469">
        <v>468</v>
      </c>
      <c r="C469" t="s">
        <v>1738</v>
      </c>
      <c r="D469">
        <v>46</v>
      </c>
      <c r="E469" s="21">
        <v>80374</v>
      </c>
      <c r="F469" s="21">
        <v>951673</v>
      </c>
      <c r="G469">
        <v>9.8000000000000004E-2</v>
      </c>
      <c r="H469">
        <v>10</v>
      </c>
      <c r="I469">
        <v>733</v>
      </c>
      <c r="J469">
        <v>2</v>
      </c>
      <c r="K469" s="21">
        <v>12486</v>
      </c>
    </row>
    <row r="470" spans="1:11" x14ac:dyDescent="0.3">
      <c r="A470" t="s">
        <v>2309</v>
      </c>
      <c r="B470">
        <v>469</v>
      </c>
      <c r="C470" t="s">
        <v>1739</v>
      </c>
      <c r="D470">
        <v>63</v>
      </c>
      <c r="E470" s="21">
        <v>113181</v>
      </c>
      <c r="F470" s="21">
        <v>1916314</v>
      </c>
      <c r="G470">
        <v>0.1</v>
      </c>
      <c r="H470">
        <v>15</v>
      </c>
      <c r="I470">
        <v>647</v>
      </c>
      <c r="J470">
        <v>0</v>
      </c>
      <c r="K470" s="21">
        <v>13854</v>
      </c>
    </row>
    <row r="471" spans="1:11" x14ac:dyDescent="0.3">
      <c r="A471" t="s">
        <v>2309</v>
      </c>
      <c r="B471">
        <v>470</v>
      </c>
      <c r="C471" t="s">
        <v>1740</v>
      </c>
      <c r="D471">
        <v>55</v>
      </c>
      <c r="E471" s="21">
        <v>67653</v>
      </c>
      <c r="F471" s="21">
        <v>1922141</v>
      </c>
      <c r="G471">
        <v>0.112</v>
      </c>
      <c r="H471">
        <v>25</v>
      </c>
      <c r="I471">
        <v>625</v>
      </c>
      <c r="J471">
        <v>10</v>
      </c>
      <c r="K471" s="21">
        <v>4320</v>
      </c>
    </row>
    <row r="472" spans="1:11" x14ac:dyDescent="0.3">
      <c r="A472" t="s">
        <v>2309</v>
      </c>
      <c r="B472">
        <v>471</v>
      </c>
      <c r="C472" t="s">
        <v>1741</v>
      </c>
      <c r="D472">
        <v>31</v>
      </c>
      <c r="E472" s="21">
        <v>96343</v>
      </c>
      <c r="F472" s="21">
        <v>2279316</v>
      </c>
      <c r="G472">
        <v>0.111</v>
      </c>
      <c r="H472">
        <v>15</v>
      </c>
      <c r="I472">
        <v>790</v>
      </c>
      <c r="J472">
        <v>5</v>
      </c>
      <c r="K472" s="21">
        <v>17551</v>
      </c>
    </row>
    <row r="473" spans="1:11" x14ac:dyDescent="0.3">
      <c r="A473" t="s">
        <v>2309</v>
      </c>
      <c r="B473">
        <v>472</v>
      </c>
      <c r="C473" t="s">
        <v>1742</v>
      </c>
      <c r="D473">
        <v>64</v>
      </c>
      <c r="E473" s="21">
        <v>77746</v>
      </c>
      <c r="F473" s="21">
        <v>1011939</v>
      </c>
      <c r="G473">
        <v>0.108</v>
      </c>
      <c r="H473">
        <v>25</v>
      </c>
      <c r="I473">
        <v>670</v>
      </c>
      <c r="J473">
        <v>11</v>
      </c>
      <c r="K473" s="21">
        <v>12735</v>
      </c>
    </row>
    <row r="474" spans="1:11" x14ac:dyDescent="0.3">
      <c r="A474" t="s">
        <v>2309</v>
      </c>
      <c r="B474">
        <v>473</v>
      </c>
      <c r="C474" t="s">
        <v>1743</v>
      </c>
      <c r="D474">
        <v>38</v>
      </c>
      <c r="E474" s="21">
        <v>78602</v>
      </c>
      <c r="F474" s="21">
        <v>1531336</v>
      </c>
      <c r="G474">
        <v>0.11899999999999999</v>
      </c>
      <c r="H474">
        <v>15</v>
      </c>
      <c r="I474">
        <v>797</v>
      </c>
      <c r="J474">
        <v>4</v>
      </c>
      <c r="K474" s="21">
        <v>43589</v>
      </c>
    </row>
    <row r="475" spans="1:11" x14ac:dyDescent="0.3">
      <c r="A475" t="s">
        <v>2309</v>
      </c>
      <c r="B475">
        <v>474</v>
      </c>
      <c r="C475" t="s">
        <v>1744</v>
      </c>
      <c r="D475">
        <v>23</v>
      </c>
      <c r="E475" s="21">
        <v>94674</v>
      </c>
      <c r="F475" s="21">
        <v>807644</v>
      </c>
      <c r="G475">
        <v>8.3000000000000004E-2</v>
      </c>
      <c r="H475">
        <v>20</v>
      </c>
      <c r="I475">
        <v>807</v>
      </c>
      <c r="J475">
        <v>9</v>
      </c>
      <c r="K475" s="21">
        <v>1524</v>
      </c>
    </row>
    <row r="476" spans="1:11" x14ac:dyDescent="0.3">
      <c r="A476" t="s">
        <v>2309</v>
      </c>
      <c r="B476">
        <v>475</v>
      </c>
      <c r="C476" t="s">
        <v>1745</v>
      </c>
      <c r="D476">
        <v>21</v>
      </c>
      <c r="E476" s="21">
        <v>107196</v>
      </c>
      <c r="F476" s="21">
        <v>1909157</v>
      </c>
      <c r="G476">
        <v>0.1</v>
      </c>
      <c r="H476">
        <v>30</v>
      </c>
      <c r="I476">
        <v>683</v>
      </c>
      <c r="J476">
        <v>15</v>
      </c>
      <c r="K476" s="21">
        <v>28623</v>
      </c>
    </row>
    <row r="477" spans="1:11" x14ac:dyDescent="0.3">
      <c r="A477" t="s">
        <v>2309</v>
      </c>
      <c r="B477">
        <v>476</v>
      </c>
      <c r="C477" t="s">
        <v>1746</v>
      </c>
      <c r="D477">
        <v>61</v>
      </c>
      <c r="E477" s="21">
        <v>16661</v>
      </c>
      <c r="F477" s="21">
        <v>1790782</v>
      </c>
      <c r="G477">
        <v>9.8000000000000004E-2</v>
      </c>
      <c r="H477">
        <v>30</v>
      </c>
      <c r="I477">
        <v>652</v>
      </c>
      <c r="J477">
        <v>1</v>
      </c>
      <c r="K477" s="21">
        <v>49046</v>
      </c>
    </row>
    <row r="478" spans="1:11" x14ac:dyDescent="0.3">
      <c r="A478" t="s">
        <v>2309</v>
      </c>
      <c r="B478">
        <v>477</v>
      </c>
      <c r="C478" t="s">
        <v>1747</v>
      </c>
      <c r="D478">
        <v>58</v>
      </c>
      <c r="E478" s="21">
        <v>93394</v>
      </c>
      <c r="F478" s="21">
        <v>2460076</v>
      </c>
      <c r="G478">
        <v>0.1</v>
      </c>
      <c r="H478">
        <v>15</v>
      </c>
      <c r="I478">
        <v>784</v>
      </c>
      <c r="J478">
        <v>2</v>
      </c>
      <c r="K478" s="21">
        <v>46134</v>
      </c>
    </row>
    <row r="479" spans="1:11" x14ac:dyDescent="0.3">
      <c r="A479" t="s">
        <v>2309</v>
      </c>
      <c r="B479">
        <v>478</v>
      </c>
      <c r="C479" t="s">
        <v>1748</v>
      </c>
      <c r="D479">
        <v>21</v>
      </c>
      <c r="E479" s="21">
        <v>53756</v>
      </c>
      <c r="F479" s="21">
        <v>1075368</v>
      </c>
      <c r="G479">
        <v>8.7999999999999995E-2</v>
      </c>
      <c r="H479">
        <v>20</v>
      </c>
      <c r="I479">
        <v>759</v>
      </c>
      <c r="J479">
        <v>14</v>
      </c>
      <c r="K479" s="21">
        <v>18263</v>
      </c>
    </row>
    <row r="480" spans="1:11" x14ac:dyDescent="0.3">
      <c r="A480" t="s">
        <v>2309</v>
      </c>
      <c r="B480">
        <v>479</v>
      </c>
      <c r="C480" t="s">
        <v>1749</v>
      </c>
      <c r="D480">
        <v>27</v>
      </c>
      <c r="E480" s="21">
        <v>96035</v>
      </c>
      <c r="F480" s="21">
        <v>1404309</v>
      </c>
      <c r="G480">
        <v>0.10199999999999999</v>
      </c>
      <c r="H480">
        <v>20</v>
      </c>
      <c r="I480">
        <v>676</v>
      </c>
      <c r="J480">
        <v>6</v>
      </c>
      <c r="K480" s="21">
        <v>824</v>
      </c>
    </row>
    <row r="481" spans="1:11" x14ac:dyDescent="0.3">
      <c r="A481" t="s">
        <v>2309</v>
      </c>
      <c r="B481">
        <v>480</v>
      </c>
      <c r="C481" t="s">
        <v>1750</v>
      </c>
      <c r="D481">
        <v>36</v>
      </c>
      <c r="E481" s="21">
        <v>40334</v>
      </c>
      <c r="F481" s="21">
        <v>1183633</v>
      </c>
      <c r="G481">
        <v>8.4000000000000005E-2</v>
      </c>
      <c r="H481">
        <v>20</v>
      </c>
      <c r="I481">
        <v>636</v>
      </c>
      <c r="J481">
        <v>3</v>
      </c>
      <c r="K481" s="21">
        <v>33814</v>
      </c>
    </row>
    <row r="482" spans="1:11" x14ac:dyDescent="0.3">
      <c r="A482" t="s">
        <v>2309</v>
      </c>
      <c r="B482">
        <v>481</v>
      </c>
      <c r="C482" t="s">
        <v>1751</v>
      </c>
      <c r="D482">
        <v>52</v>
      </c>
      <c r="E482" s="21">
        <v>32394</v>
      </c>
      <c r="F482" s="21">
        <v>2096516</v>
      </c>
      <c r="G482">
        <v>0.114</v>
      </c>
      <c r="H482">
        <v>10</v>
      </c>
      <c r="I482">
        <v>796</v>
      </c>
      <c r="J482">
        <v>5</v>
      </c>
      <c r="K482" s="21">
        <v>28968</v>
      </c>
    </row>
    <row r="483" spans="1:11" x14ac:dyDescent="0.3">
      <c r="A483" t="s">
        <v>2309</v>
      </c>
      <c r="B483">
        <v>482</v>
      </c>
      <c r="C483" t="s">
        <v>1752</v>
      </c>
      <c r="D483">
        <v>20</v>
      </c>
      <c r="E483" s="21">
        <v>45918</v>
      </c>
      <c r="F483" s="21">
        <v>1280253</v>
      </c>
      <c r="G483">
        <v>0.113</v>
      </c>
      <c r="H483">
        <v>30</v>
      </c>
      <c r="I483">
        <v>620</v>
      </c>
      <c r="J483">
        <v>1</v>
      </c>
      <c r="K483" s="21">
        <v>8898</v>
      </c>
    </row>
    <row r="484" spans="1:11" x14ac:dyDescent="0.3">
      <c r="A484" t="s">
        <v>2309</v>
      </c>
      <c r="B484">
        <v>483</v>
      </c>
      <c r="C484" t="s">
        <v>1753</v>
      </c>
      <c r="D484">
        <v>55</v>
      </c>
      <c r="E484" s="21">
        <v>64971</v>
      </c>
      <c r="F484" s="21">
        <v>2283616</v>
      </c>
      <c r="G484">
        <v>0.112</v>
      </c>
      <c r="H484">
        <v>20</v>
      </c>
      <c r="I484">
        <v>605</v>
      </c>
      <c r="J484">
        <v>8</v>
      </c>
      <c r="K484" s="21">
        <v>24544</v>
      </c>
    </row>
    <row r="485" spans="1:11" x14ac:dyDescent="0.3">
      <c r="A485" t="s">
        <v>2309</v>
      </c>
      <c r="B485">
        <v>484</v>
      </c>
      <c r="C485" t="s">
        <v>1754</v>
      </c>
      <c r="D485">
        <v>33</v>
      </c>
      <c r="E485" s="21">
        <v>28979</v>
      </c>
      <c r="F485" s="21">
        <v>522347</v>
      </c>
      <c r="G485">
        <v>0.10299999999999999</v>
      </c>
      <c r="H485">
        <v>25</v>
      </c>
      <c r="I485">
        <v>628</v>
      </c>
      <c r="J485">
        <v>12</v>
      </c>
      <c r="K485" s="21">
        <v>10911</v>
      </c>
    </row>
    <row r="486" spans="1:11" x14ac:dyDescent="0.3">
      <c r="A486" t="s">
        <v>2309</v>
      </c>
      <c r="B486">
        <v>485</v>
      </c>
      <c r="C486" t="s">
        <v>1755</v>
      </c>
      <c r="D486">
        <v>64</v>
      </c>
      <c r="E486" s="21">
        <v>65228</v>
      </c>
      <c r="F486" s="21">
        <v>1302617</v>
      </c>
      <c r="G486">
        <v>8.1000000000000003E-2</v>
      </c>
      <c r="H486">
        <v>20</v>
      </c>
      <c r="I486">
        <v>635</v>
      </c>
      <c r="J486">
        <v>11</v>
      </c>
      <c r="K486" s="21">
        <v>12440</v>
      </c>
    </row>
    <row r="487" spans="1:11" x14ac:dyDescent="0.3">
      <c r="A487" t="s">
        <v>2309</v>
      </c>
      <c r="B487">
        <v>486</v>
      </c>
      <c r="C487" t="s">
        <v>1756</v>
      </c>
      <c r="D487">
        <v>55</v>
      </c>
      <c r="E487" s="21">
        <v>58760</v>
      </c>
      <c r="F487" s="21">
        <v>2213881</v>
      </c>
      <c r="G487">
        <v>8.5999999999999993E-2</v>
      </c>
      <c r="H487">
        <v>25</v>
      </c>
      <c r="I487">
        <v>657</v>
      </c>
      <c r="J487">
        <v>9</v>
      </c>
      <c r="K487" s="21">
        <v>14793</v>
      </c>
    </row>
    <row r="488" spans="1:11" x14ac:dyDescent="0.3">
      <c r="A488" t="s">
        <v>2309</v>
      </c>
      <c r="B488">
        <v>487</v>
      </c>
      <c r="C488" t="s">
        <v>1757</v>
      </c>
      <c r="D488">
        <v>27</v>
      </c>
      <c r="E488" s="21">
        <v>20798</v>
      </c>
      <c r="F488" s="21">
        <v>1254781</v>
      </c>
      <c r="G488">
        <v>8.4000000000000005E-2</v>
      </c>
      <c r="H488">
        <v>10</v>
      </c>
      <c r="I488">
        <v>621</v>
      </c>
      <c r="J488">
        <v>6</v>
      </c>
      <c r="K488" s="21">
        <v>39743</v>
      </c>
    </row>
    <row r="489" spans="1:11" x14ac:dyDescent="0.3">
      <c r="A489" t="s">
        <v>2309</v>
      </c>
      <c r="B489">
        <v>488</v>
      </c>
      <c r="C489" t="s">
        <v>1758</v>
      </c>
      <c r="D489">
        <v>35</v>
      </c>
      <c r="E489" s="21">
        <v>105523</v>
      </c>
      <c r="F489" s="21">
        <v>977213</v>
      </c>
      <c r="G489">
        <v>0.10299999999999999</v>
      </c>
      <c r="H489">
        <v>15</v>
      </c>
      <c r="I489">
        <v>752</v>
      </c>
      <c r="J489">
        <v>1</v>
      </c>
      <c r="K489" s="21">
        <v>3170</v>
      </c>
    </row>
    <row r="490" spans="1:11" x14ac:dyDescent="0.3">
      <c r="A490" t="s">
        <v>2309</v>
      </c>
      <c r="B490">
        <v>489</v>
      </c>
      <c r="C490" t="s">
        <v>1759</v>
      </c>
      <c r="D490">
        <v>21</v>
      </c>
      <c r="E490" s="21">
        <v>79524</v>
      </c>
      <c r="F490" s="21">
        <v>2057793</v>
      </c>
      <c r="G490">
        <v>9.5000000000000001E-2</v>
      </c>
      <c r="H490">
        <v>20</v>
      </c>
      <c r="I490">
        <v>677</v>
      </c>
      <c r="J490">
        <v>8</v>
      </c>
      <c r="K490" s="21">
        <v>22594</v>
      </c>
    </row>
    <row r="491" spans="1:11" x14ac:dyDescent="0.3">
      <c r="A491" t="s">
        <v>2309</v>
      </c>
      <c r="B491">
        <v>490</v>
      </c>
      <c r="C491" t="s">
        <v>1760</v>
      </c>
      <c r="D491">
        <v>20</v>
      </c>
      <c r="E491" s="21">
        <v>67321</v>
      </c>
      <c r="F491" s="21">
        <v>1130583</v>
      </c>
      <c r="G491">
        <v>9.4E-2</v>
      </c>
      <c r="H491">
        <v>15</v>
      </c>
      <c r="I491">
        <v>646</v>
      </c>
      <c r="J491">
        <v>1</v>
      </c>
      <c r="K491" s="21">
        <v>41267</v>
      </c>
    </row>
    <row r="492" spans="1:11" x14ac:dyDescent="0.3">
      <c r="A492" t="s">
        <v>2309</v>
      </c>
      <c r="B492">
        <v>491</v>
      </c>
      <c r="C492" t="s">
        <v>1761</v>
      </c>
      <c r="D492">
        <v>64</v>
      </c>
      <c r="E492" s="21">
        <v>99564</v>
      </c>
      <c r="F492" s="21">
        <v>1141405</v>
      </c>
      <c r="G492">
        <v>9.9000000000000005E-2</v>
      </c>
      <c r="H492">
        <v>10</v>
      </c>
      <c r="I492">
        <v>637</v>
      </c>
      <c r="J492">
        <v>3</v>
      </c>
      <c r="K492" s="21">
        <v>36058</v>
      </c>
    </row>
    <row r="493" spans="1:11" x14ac:dyDescent="0.3">
      <c r="A493" t="s">
        <v>2309</v>
      </c>
      <c r="B493">
        <v>492</v>
      </c>
      <c r="C493" t="s">
        <v>1762</v>
      </c>
      <c r="D493">
        <v>38</v>
      </c>
      <c r="E493" s="21">
        <v>71045</v>
      </c>
      <c r="F493" s="21">
        <v>994918</v>
      </c>
      <c r="G493">
        <v>0.11</v>
      </c>
      <c r="H493">
        <v>30</v>
      </c>
      <c r="I493">
        <v>693</v>
      </c>
      <c r="J493">
        <v>0</v>
      </c>
      <c r="K493" s="21">
        <v>15398</v>
      </c>
    </row>
    <row r="494" spans="1:11" x14ac:dyDescent="0.3">
      <c r="A494" t="s">
        <v>2309</v>
      </c>
      <c r="B494">
        <v>493</v>
      </c>
      <c r="C494" t="s">
        <v>1763</v>
      </c>
      <c r="D494">
        <v>25</v>
      </c>
      <c r="E494" s="21">
        <v>46846</v>
      </c>
      <c r="F494" s="21">
        <v>669814</v>
      </c>
      <c r="G494">
        <v>8.5999999999999993E-2</v>
      </c>
      <c r="H494">
        <v>20</v>
      </c>
      <c r="I494">
        <v>636</v>
      </c>
      <c r="J494">
        <v>13</v>
      </c>
      <c r="K494" s="21">
        <v>1723</v>
      </c>
    </row>
    <row r="495" spans="1:11" x14ac:dyDescent="0.3">
      <c r="A495" t="s">
        <v>2309</v>
      </c>
      <c r="B495">
        <v>494</v>
      </c>
      <c r="C495" t="s">
        <v>1764</v>
      </c>
      <c r="D495">
        <v>49</v>
      </c>
      <c r="E495" s="21">
        <v>82241</v>
      </c>
      <c r="F495" s="21">
        <v>1329483</v>
      </c>
      <c r="G495">
        <v>0.09</v>
      </c>
      <c r="H495">
        <v>25</v>
      </c>
      <c r="I495">
        <v>664</v>
      </c>
      <c r="J495">
        <v>15</v>
      </c>
      <c r="K495" s="21">
        <v>21767</v>
      </c>
    </row>
    <row r="496" spans="1:11" x14ac:dyDescent="0.3">
      <c r="A496" t="s">
        <v>2309</v>
      </c>
      <c r="B496">
        <v>495</v>
      </c>
      <c r="C496" t="s">
        <v>1765</v>
      </c>
      <c r="D496">
        <v>26</v>
      </c>
      <c r="E496" s="21">
        <v>73852</v>
      </c>
      <c r="F496" s="21">
        <v>2058645</v>
      </c>
      <c r="G496">
        <v>0.1</v>
      </c>
      <c r="H496">
        <v>25</v>
      </c>
      <c r="I496">
        <v>809</v>
      </c>
      <c r="J496">
        <v>7</v>
      </c>
      <c r="K496" s="21">
        <v>36404</v>
      </c>
    </row>
    <row r="497" spans="1:11" x14ac:dyDescent="0.3">
      <c r="A497" t="s">
        <v>2309</v>
      </c>
      <c r="B497">
        <v>496</v>
      </c>
      <c r="C497" t="s">
        <v>1766</v>
      </c>
      <c r="D497">
        <v>65</v>
      </c>
      <c r="E497" s="21">
        <v>97890</v>
      </c>
      <c r="F497" s="21">
        <v>2381321</v>
      </c>
      <c r="G497">
        <v>9.1999999999999998E-2</v>
      </c>
      <c r="H497">
        <v>25</v>
      </c>
      <c r="I497">
        <v>826</v>
      </c>
      <c r="J497">
        <v>10</v>
      </c>
      <c r="K497" s="21">
        <v>48947</v>
      </c>
    </row>
    <row r="498" spans="1:11" x14ac:dyDescent="0.3">
      <c r="A498" t="s">
        <v>2309</v>
      </c>
      <c r="B498">
        <v>497</v>
      </c>
      <c r="C498" t="s">
        <v>1767</v>
      </c>
      <c r="D498">
        <v>27</v>
      </c>
      <c r="E498" s="21">
        <v>71780</v>
      </c>
      <c r="F498" s="21">
        <v>661456</v>
      </c>
      <c r="G498">
        <v>9.7000000000000003E-2</v>
      </c>
      <c r="H498">
        <v>20</v>
      </c>
      <c r="I498">
        <v>684</v>
      </c>
      <c r="J498">
        <v>5</v>
      </c>
      <c r="K498" s="21">
        <v>20656</v>
      </c>
    </row>
    <row r="499" spans="1:11" x14ac:dyDescent="0.3">
      <c r="A499" t="s">
        <v>2309</v>
      </c>
      <c r="B499">
        <v>498</v>
      </c>
      <c r="C499" t="s">
        <v>1768</v>
      </c>
      <c r="D499">
        <v>38</v>
      </c>
      <c r="E499" s="21">
        <v>94218</v>
      </c>
      <c r="F499" s="21">
        <v>2143382</v>
      </c>
      <c r="G499">
        <v>9.7000000000000003E-2</v>
      </c>
      <c r="H499">
        <v>25</v>
      </c>
      <c r="I499">
        <v>611</v>
      </c>
      <c r="J499">
        <v>1</v>
      </c>
      <c r="K499" s="21">
        <v>2866</v>
      </c>
    </row>
    <row r="500" spans="1:11" x14ac:dyDescent="0.3">
      <c r="A500" t="s">
        <v>2309</v>
      </c>
      <c r="B500">
        <v>499</v>
      </c>
      <c r="C500" t="s">
        <v>1769</v>
      </c>
      <c r="D500">
        <v>21</v>
      </c>
      <c r="E500" s="21">
        <v>39580</v>
      </c>
      <c r="F500" s="21">
        <v>1163741</v>
      </c>
      <c r="G500">
        <v>9.8000000000000004E-2</v>
      </c>
      <c r="H500">
        <v>30</v>
      </c>
      <c r="I500">
        <v>840</v>
      </c>
      <c r="J500">
        <v>9</v>
      </c>
      <c r="K500" s="21">
        <v>40005</v>
      </c>
    </row>
    <row r="501" spans="1:11" x14ac:dyDescent="0.3">
      <c r="A501" t="s">
        <v>2309</v>
      </c>
      <c r="B501">
        <v>500</v>
      </c>
      <c r="C501" t="s">
        <v>1770</v>
      </c>
      <c r="D501">
        <v>35</v>
      </c>
      <c r="E501" s="21">
        <v>80486</v>
      </c>
      <c r="F501" s="21">
        <v>1395165</v>
      </c>
      <c r="G501">
        <v>0.115</v>
      </c>
      <c r="H501">
        <v>25</v>
      </c>
      <c r="I501">
        <v>621</v>
      </c>
      <c r="J501">
        <v>8</v>
      </c>
      <c r="K501" s="21">
        <v>7560</v>
      </c>
    </row>
    <row r="502" spans="1:11" x14ac:dyDescent="0.3">
      <c r="A502" t="s">
        <v>2310</v>
      </c>
      <c r="B502">
        <v>501</v>
      </c>
      <c r="C502" t="s">
        <v>2311</v>
      </c>
      <c r="D502">
        <v>34</v>
      </c>
      <c r="E502" s="21">
        <v>5041</v>
      </c>
      <c r="F502" s="21">
        <v>84669</v>
      </c>
      <c r="G502">
        <v>0.13300000000000001</v>
      </c>
      <c r="H502">
        <v>20</v>
      </c>
      <c r="I502">
        <v>582</v>
      </c>
      <c r="J502">
        <v>15</v>
      </c>
      <c r="K502" s="21">
        <v>28521</v>
      </c>
    </row>
    <row r="503" spans="1:11" x14ac:dyDescent="0.3">
      <c r="A503" t="s">
        <v>2310</v>
      </c>
      <c r="B503">
        <v>502</v>
      </c>
      <c r="C503" t="s">
        <v>2312</v>
      </c>
      <c r="D503">
        <v>27</v>
      </c>
      <c r="E503" s="21">
        <v>7814</v>
      </c>
      <c r="F503" s="21">
        <v>477917</v>
      </c>
      <c r="G503">
        <v>5.3999999999999999E-2</v>
      </c>
      <c r="H503">
        <v>25</v>
      </c>
      <c r="I503">
        <v>771</v>
      </c>
      <c r="J503">
        <v>18</v>
      </c>
      <c r="K503" s="21">
        <v>29599</v>
      </c>
    </row>
    <row r="504" spans="1:11" x14ac:dyDescent="0.3">
      <c r="A504" t="s">
        <v>2310</v>
      </c>
      <c r="B504">
        <v>503</v>
      </c>
      <c r="C504" t="s">
        <v>2313</v>
      </c>
      <c r="D504">
        <v>55</v>
      </c>
      <c r="E504" s="21">
        <v>4885</v>
      </c>
      <c r="F504" s="21">
        <v>343008</v>
      </c>
      <c r="G504">
        <v>7.0999999999999994E-2</v>
      </c>
      <c r="H504">
        <v>15</v>
      </c>
      <c r="I504">
        <v>824</v>
      </c>
      <c r="J504">
        <v>5</v>
      </c>
      <c r="K504" s="21">
        <v>33946</v>
      </c>
    </row>
    <row r="505" spans="1:11" x14ac:dyDescent="0.3">
      <c r="A505" t="s">
        <v>2310</v>
      </c>
      <c r="B505">
        <v>504</v>
      </c>
      <c r="C505" t="s">
        <v>2314</v>
      </c>
      <c r="D505">
        <v>65</v>
      </c>
      <c r="E505" s="21">
        <v>3434</v>
      </c>
      <c r="F505" s="21">
        <v>404012</v>
      </c>
      <c r="G505">
        <v>0.06</v>
      </c>
      <c r="H505">
        <v>30</v>
      </c>
      <c r="I505">
        <v>614</v>
      </c>
      <c r="J505">
        <v>17</v>
      </c>
      <c r="K505" s="21">
        <v>15280</v>
      </c>
    </row>
    <row r="506" spans="1:11" x14ac:dyDescent="0.3">
      <c r="A506" t="s">
        <v>2310</v>
      </c>
      <c r="B506">
        <v>505</v>
      </c>
      <c r="C506" t="s">
        <v>2315</v>
      </c>
      <c r="D506">
        <v>46</v>
      </c>
      <c r="E506" s="21">
        <v>8518</v>
      </c>
      <c r="F506" s="21">
        <v>171903</v>
      </c>
      <c r="G506">
        <v>0.14199999999999999</v>
      </c>
      <c r="H506">
        <v>20</v>
      </c>
      <c r="I506">
        <v>772</v>
      </c>
      <c r="J506">
        <v>15</v>
      </c>
      <c r="K506" s="21">
        <v>8970</v>
      </c>
    </row>
    <row r="507" spans="1:11" x14ac:dyDescent="0.3">
      <c r="A507" t="s">
        <v>2310</v>
      </c>
      <c r="B507">
        <v>506</v>
      </c>
      <c r="C507" t="s">
        <v>2316</v>
      </c>
      <c r="D507">
        <v>45</v>
      </c>
      <c r="E507" s="21">
        <v>4582</v>
      </c>
      <c r="F507" s="21">
        <v>354160</v>
      </c>
      <c r="G507">
        <v>0.10299999999999999</v>
      </c>
      <c r="H507">
        <v>25</v>
      </c>
      <c r="I507">
        <v>797</v>
      </c>
      <c r="J507">
        <v>7</v>
      </c>
      <c r="K507" s="21">
        <v>44460</v>
      </c>
    </row>
    <row r="508" spans="1:11" x14ac:dyDescent="0.3">
      <c r="A508" t="s">
        <v>2310</v>
      </c>
      <c r="B508">
        <v>507</v>
      </c>
      <c r="C508" t="s">
        <v>2317</v>
      </c>
      <c r="D508">
        <v>37</v>
      </c>
      <c r="E508" s="21">
        <v>10794</v>
      </c>
      <c r="F508" s="21">
        <v>481720</v>
      </c>
      <c r="G508">
        <v>0.14799999999999999</v>
      </c>
      <c r="H508">
        <v>20</v>
      </c>
      <c r="I508">
        <v>690</v>
      </c>
      <c r="J508">
        <v>14</v>
      </c>
      <c r="K508" s="21">
        <v>6089</v>
      </c>
    </row>
    <row r="509" spans="1:11" x14ac:dyDescent="0.3">
      <c r="A509" t="s">
        <v>2310</v>
      </c>
      <c r="B509">
        <v>508</v>
      </c>
      <c r="C509" t="s">
        <v>2318</v>
      </c>
      <c r="D509">
        <v>42</v>
      </c>
      <c r="E509" s="21">
        <v>6520</v>
      </c>
      <c r="F509" s="21">
        <v>478480</v>
      </c>
      <c r="G509">
        <v>0.14499999999999999</v>
      </c>
      <c r="H509">
        <v>25</v>
      </c>
      <c r="I509">
        <v>582</v>
      </c>
      <c r="J509">
        <v>10</v>
      </c>
      <c r="K509" s="21">
        <v>36647</v>
      </c>
    </row>
    <row r="510" spans="1:11" x14ac:dyDescent="0.3">
      <c r="A510" t="s">
        <v>2310</v>
      </c>
      <c r="B510">
        <v>509</v>
      </c>
      <c r="C510" t="s">
        <v>2319</v>
      </c>
      <c r="D510">
        <v>30</v>
      </c>
      <c r="E510" s="21">
        <v>3274</v>
      </c>
      <c r="F510" s="21">
        <v>410705</v>
      </c>
      <c r="G510">
        <v>0.125</v>
      </c>
      <c r="H510">
        <v>30</v>
      </c>
      <c r="I510">
        <v>721</v>
      </c>
      <c r="J510">
        <v>4</v>
      </c>
      <c r="K510" s="21">
        <v>7895</v>
      </c>
    </row>
    <row r="511" spans="1:11" x14ac:dyDescent="0.3">
      <c r="A511" t="s">
        <v>2310</v>
      </c>
      <c r="B511">
        <v>510</v>
      </c>
      <c r="C511" t="s">
        <v>2320</v>
      </c>
      <c r="D511">
        <v>53</v>
      </c>
      <c r="E511" s="21">
        <v>6474</v>
      </c>
      <c r="F511" s="21">
        <v>252712</v>
      </c>
      <c r="G511">
        <v>0.13300000000000001</v>
      </c>
      <c r="H511">
        <v>25</v>
      </c>
      <c r="I511">
        <v>817</v>
      </c>
      <c r="J511">
        <v>14</v>
      </c>
      <c r="K511" s="21">
        <v>22476</v>
      </c>
    </row>
    <row r="512" spans="1:11" x14ac:dyDescent="0.3">
      <c r="A512" t="s">
        <v>2310</v>
      </c>
      <c r="B512">
        <v>511</v>
      </c>
      <c r="C512" t="s">
        <v>2321</v>
      </c>
      <c r="D512">
        <v>40</v>
      </c>
      <c r="E512" s="21">
        <v>14609</v>
      </c>
      <c r="F512" s="21">
        <v>304559</v>
      </c>
      <c r="G512">
        <v>0.11600000000000001</v>
      </c>
      <c r="H512">
        <v>25</v>
      </c>
      <c r="I512">
        <v>809</v>
      </c>
      <c r="J512">
        <v>8</v>
      </c>
      <c r="K512" s="21">
        <v>14670</v>
      </c>
    </row>
    <row r="513" spans="1:11" x14ac:dyDescent="0.3">
      <c r="A513" t="s">
        <v>2310</v>
      </c>
      <c r="B513">
        <v>512</v>
      </c>
      <c r="C513" t="s">
        <v>2322</v>
      </c>
      <c r="D513">
        <v>31</v>
      </c>
      <c r="E513" s="21">
        <v>3993</v>
      </c>
      <c r="F513" s="21">
        <v>259460</v>
      </c>
      <c r="G513">
        <v>7.9000000000000001E-2</v>
      </c>
      <c r="H513">
        <v>10</v>
      </c>
      <c r="I513">
        <v>624</v>
      </c>
      <c r="J513">
        <v>3</v>
      </c>
      <c r="K513" s="21">
        <v>636</v>
      </c>
    </row>
    <row r="514" spans="1:11" x14ac:dyDescent="0.3">
      <c r="A514" t="s">
        <v>2310</v>
      </c>
      <c r="B514">
        <v>513</v>
      </c>
      <c r="C514" t="s">
        <v>2323</v>
      </c>
      <c r="D514">
        <v>46</v>
      </c>
      <c r="E514" s="21">
        <v>10993</v>
      </c>
      <c r="F514" s="21">
        <v>434462</v>
      </c>
      <c r="G514">
        <v>0.10199999999999999</v>
      </c>
      <c r="H514">
        <v>10</v>
      </c>
      <c r="I514">
        <v>813</v>
      </c>
      <c r="J514">
        <v>3</v>
      </c>
      <c r="K514" s="21">
        <v>33476</v>
      </c>
    </row>
    <row r="515" spans="1:11" x14ac:dyDescent="0.3">
      <c r="A515" t="s">
        <v>2310</v>
      </c>
      <c r="B515">
        <v>514</v>
      </c>
      <c r="C515" t="s">
        <v>2324</v>
      </c>
      <c r="D515">
        <v>51</v>
      </c>
      <c r="E515" s="21">
        <v>10001</v>
      </c>
      <c r="F515" s="21">
        <v>380091</v>
      </c>
      <c r="G515">
        <v>0.14599999999999999</v>
      </c>
      <c r="H515">
        <v>10</v>
      </c>
      <c r="I515">
        <v>666</v>
      </c>
      <c r="J515">
        <v>10</v>
      </c>
      <c r="K515" s="21">
        <v>6982</v>
      </c>
    </row>
    <row r="516" spans="1:11" x14ac:dyDescent="0.3">
      <c r="A516" t="s">
        <v>2310</v>
      </c>
      <c r="B516">
        <v>515</v>
      </c>
      <c r="C516" t="s">
        <v>2325</v>
      </c>
      <c r="D516">
        <v>38</v>
      </c>
      <c r="E516" s="21">
        <v>10758</v>
      </c>
      <c r="F516" s="21">
        <v>327694</v>
      </c>
      <c r="G516">
        <v>0.14599999999999999</v>
      </c>
      <c r="H516">
        <v>30</v>
      </c>
      <c r="I516">
        <v>810</v>
      </c>
      <c r="J516">
        <v>17</v>
      </c>
      <c r="K516" s="21">
        <v>849</v>
      </c>
    </row>
    <row r="517" spans="1:11" x14ac:dyDescent="0.3">
      <c r="A517" t="s">
        <v>2310</v>
      </c>
      <c r="B517">
        <v>516</v>
      </c>
      <c r="C517" t="s">
        <v>2326</v>
      </c>
      <c r="D517">
        <v>65</v>
      </c>
      <c r="E517" s="21">
        <v>3317</v>
      </c>
      <c r="F517" s="21">
        <v>123757</v>
      </c>
      <c r="G517">
        <v>6.6000000000000003E-2</v>
      </c>
      <c r="H517">
        <v>15</v>
      </c>
      <c r="I517">
        <v>740</v>
      </c>
      <c r="J517">
        <v>13</v>
      </c>
      <c r="K517" s="21">
        <v>9117</v>
      </c>
    </row>
    <row r="518" spans="1:11" x14ac:dyDescent="0.3">
      <c r="A518" t="s">
        <v>2310</v>
      </c>
      <c r="B518">
        <v>517</v>
      </c>
      <c r="C518" t="s">
        <v>2327</v>
      </c>
      <c r="D518">
        <v>52</v>
      </c>
      <c r="E518" s="21">
        <v>13566</v>
      </c>
      <c r="F518" s="21">
        <v>134213</v>
      </c>
      <c r="G518">
        <v>0.127</v>
      </c>
      <c r="H518">
        <v>30</v>
      </c>
      <c r="I518">
        <v>613</v>
      </c>
      <c r="J518">
        <v>0</v>
      </c>
      <c r="K518" s="21">
        <v>665</v>
      </c>
    </row>
    <row r="519" spans="1:11" x14ac:dyDescent="0.3">
      <c r="A519" t="s">
        <v>2310</v>
      </c>
      <c r="B519">
        <v>518</v>
      </c>
      <c r="C519" t="s">
        <v>2328</v>
      </c>
      <c r="D519">
        <v>48</v>
      </c>
      <c r="E519" s="21">
        <v>13461</v>
      </c>
      <c r="F519" s="21">
        <v>345898</v>
      </c>
      <c r="G519">
        <v>0.14299999999999999</v>
      </c>
      <c r="H519">
        <v>20</v>
      </c>
      <c r="I519">
        <v>704</v>
      </c>
      <c r="J519">
        <v>4</v>
      </c>
      <c r="K519" s="21">
        <v>48563</v>
      </c>
    </row>
    <row r="520" spans="1:11" x14ac:dyDescent="0.3">
      <c r="A520" t="s">
        <v>2310</v>
      </c>
      <c r="B520">
        <v>519</v>
      </c>
      <c r="C520" t="s">
        <v>2329</v>
      </c>
      <c r="D520">
        <v>41</v>
      </c>
      <c r="E520" s="21">
        <v>12894</v>
      </c>
      <c r="F520" s="21">
        <v>405651</v>
      </c>
      <c r="G520">
        <v>0.113</v>
      </c>
      <c r="H520">
        <v>10</v>
      </c>
      <c r="I520">
        <v>697</v>
      </c>
      <c r="J520">
        <v>11</v>
      </c>
      <c r="K520" s="21">
        <v>9138</v>
      </c>
    </row>
    <row r="521" spans="1:11" x14ac:dyDescent="0.3">
      <c r="A521" t="s">
        <v>2310</v>
      </c>
      <c r="B521">
        <v>520</v>
      </c>
      <c r="C521" t="s">
        <v>2330</v>
      </c>
      <c r="D521">
        <v>62</v>
      </c>
      <c r="E521" s="21">
        <v>6279</v>
      </c>
      <c r="F521" s="21">
        <v>240676</v>
      </c>
      <c r="G521">
        <v>9.5000000000000001E-2</v>
      </c>
      <c r="H521">
        <v>25</v>
      </c>
      <c r="I521">
        <v>723</v>
      </c>
      <c r="J521">
        <v>10</v>
      </c>
      <c r="K521" s="21">
        <v>26836</v>
      </c>
    </row>
    <row r="522" spans="1:11" x14ac:dyDescent="0.3">
      <c r="A522" t="s">
        <v>2310</v>
      </c>
      <c r="B522">
        <v>521</v>
      </c>
      <c r="C522" t="s">
        <v>2331</v>
      </c>
      <c r="D522">
        <v>51</v>
      </c>
      <c r="E522" s="21">
        <v>9371</v>
      </c>
      <c r="F522" s="21">
        <v>419375</v>
      </c>
      <c r="G522">
        <v>0.14699999999999999</v>
      </c>
      <c r="H522">
        <v>15</v>
      </c>
      <c r="I522">
        <v>829</v>
      </c>
      <c r="J522">
        <v>8</v>
      </c>
      <c r="K522" s="21">
        <v>23623</v>
      </c>
    </row>
    <row r="523" spans="1:11" x14ac:dyDescent="0.3">
      <c r="A523" t="s">
        <v>2310</v>
      </c>
      <c r="B523">
        <v>522</v>
      </c>
      <c r="C523" t="s">
        <v>2332</v>
      </c>
      <c r="D523">
        <v>24</v>
      </c>
      <c r="E523" s="21">
        <v>10123</v>
      </c>
      <c r="F523" s="21">
        <v>179581</v>
      </c>
      <c r="G523">
        <v>0.114</v>
      </c>
      <c r="H523">
        <v>25</v>
      </c>
      <c r="I523">
        <v>774</v>
      </c>
      <c r="J523">
        <v>9</v>
      </c>
      <c r="K523" s="21">
        <v>25557</v>
      </c>
    </row>
    <row r="524" spans="1:11" x14ac:dyDescent="0.3">
      <c r="A524" t="s">
        <v>2310</v>
      </c>
      <c r="B524">
        <v>523</v>
      </c>
      <c r="C524" t="s">
        <v>2333</v>
      </c>
      <c r="D524">
        <v>27</v>
      </c>
      <c r="E524" s="21">
        <v>8589</v>
      </c>
      <c r="F524" s="21">
        <v>71367</v>
      </c>
      <c r="G524">
        <v>6.7000000000000004E-2</v>
      </c>
      <c r="H524">
        <v>30</v>
      </c>
      <c r="I524">
        <v>611</v>
      </c>
      <c r="J524">
        <v>0</v>
      </c>
      <c r="K524" s="21">
        <v>42918</v>
      </c>
    </row>
    <row r="525" spans="1:11" x14ac:dyDescent="0.3">
      <c r="A525" t="s">
        <v>2310</v>
      </c>
      <c r="B525">
        <v>524</v>
      </c>
      <c r="C525" t="s">
        <v>2334</v>
      </c>
      <c r="D525">
        <v>36</v>
      </c>
      <c r="E525" s="21">
        <v>12241</v>
      </c>
      <c r="F525" s="21">
        <v>479611</v>
      </c>
      <c r="G525">
        <v>8.5999999999999993E-2</v>
      </c>
      <c r="H525">
        <v>10</v>
      </c>
      <c r="I525">
        <v>680</v>
      </c>
      <c r="J525">
        <v>16</v>
      </c>
      <c r="K525" s="21">
        <v>24807</v>
      </c>
    </row>
    <row r="526" spans="1:11" x14ac:dyDescent="0.3">
      <c r="A526" t="s">
        <v>2310</v>
      </c>
      <c r="B526">
        <v>525</v>
      </c>
      <c r="C526" t="s">
        <v>2335</v>
      </c>
      <c r="D526">
        <v>56</v>
      </c>
      <c r="E526" s="21">
        <v>12176</v>
      </c>
      <c r="F526" s="21">
        <v>51893</v>
      </c>
      <c r="G526">
        <v>7.9000000000000001E-2</v>
      </c>
      <c r="H526">
        <v>25</v>
      </c>
      <c r="I526">
        <v>810</v>
      </c>
      <c r="J526">
        <v>4</v>
      </c>
      <c r="K526" s="21">
        <v>45046</v>
      </c>
    </row>
    <row r="527" spans="1:11" x14ac:dyDescent="0.3">
      <c r="A527" t="s">
        <v>2310</v>
      </c>
      <c r="B527">
        <v>526</v>
      </c>
      <c r="C527" t="s">
        <v>2336</v>
      </c>
      <c r="D527">
        <v>43</v>
      </c>
      <c r="E527" s="21">
        <v>11494</v>
      </c>
      <c r="F527" s="21">
        <v>319313</v>
      </c>
      <c r="G527">
        <v>9.4E-2</v>
      </c>
      <c r="H527">
        <v>15</v>
      </c>
      <c r="I527">
        <v>707</v>
      </c>
      <c r="J527">
        <v>19</v>
      </c>
      <c r="K527" s="21">
        <v>5393</v>
      </c>
    </row>
    <row r="528" spans="1:11" x14ac:dyDescent="0.3">
      <c r="A528" t="s">
        <v>2310</v>
      </c>
      <c r="B528">
        <v>527</v>
      </c>
      <c r="C528" t="s">
        <v>2337</v>
      </c>
      <c r="D528">
        <v>43</v>
      </c>
      <c r="E528" s="21">
        <v>7372</v>
      </c>
      <c r="F528" s="21">
        <v>94598</v>
      </c>
      <c r="G528">
        <v>6.3E-2</v>
      </c>
      <c r="H528">
        <v>30</v>
      </c>
      <c r="I528">
        <v>797</v>
      </c>
      <c r="J528">
        <v>13</v>
      </c>
      <c r="K528" s="21">
        <v>44097</v>
      </c>
    </row>
    <row r="529" spans="1:11" x14ac:dyDescent="0.3">
      <c r="A529" t="s">
        <v>2310</v>
      </c>
      <c r="B529">
        <v>528</v>
      </c>
      <c r="C529" t="s">
        <v>2338</v>
      </c>
      <c r="D529">
        <v>63</v>
      </c>
      <c r="E529" s="21">
        <v>5581</v>
      </c>
      <c r="F529" s="21">
        <v>253187</v>
      </c>
      <c r="G529">
        <v>0.10100000000000001</v>
      </c>
      <c r="H529">
        <v>25</v>
      </c>
      <c r="I529">
        <v>624</v>
      </c>
      <c r="J529">
        <v>19</v>
      </c>
      <c r="K529" s="21">
        <v>3945</v>
      </c>
    </row>
    <row r="530" spans="1:11" x14ac:dyDescent="0.3">
      <c r="A530" t="s">
        <v>2310</v>
      </c>
      <c r="B530">
        <v>529</v>
      </c>
      <c r="C530" t="s">
        <v>2339</v>
      </c>
      <c r="D530">
        <v>65</v>
      </c>
      <c r="E530" s="21">
        <v>7894</v>
      </c>
      <c r="F530" s="21">
        <v>434395</v>
      </c>
      <c r="G530">
        <v>6.7000000000000004E-2</v>
      </c>
      <c r="H530">
        <v>20</v>
      </c>
      <c r="I530">
        <v>730</v>
      </c>
      <c r="J530">
        <v>14</v>
      </c>
      <c r="K530" s="21">
        <v>17006</v>
      </c>
    </row>
    <row r="531" spans="1:11" x14ac:dyDescent="0.3">
      <c r="A531" t="s">
        <v>2310</v>
      </c>
      <c r="B531">
        <v>530</v>
      </c>
      <c r="C531" t="s">
        <v>2340</v>
      </c>
      <c r="D531">
        <v>35</v>
      </c>
      <c r="E531" s="21">
        <v>2796</v>
      </c>
      <c r="F531" s="21">
        <v>408649</v>
      </c>
      <c r="G531">
        <v>0.13400000000000001</v>
      </c>
      <c r="H531">
        <v>25</v>
      </c>
      <c r="I531">
        <v>841</v>
      </c>
      <c r="J531">
        <v>16</v>
      </c>
      <c r="K531" s="21">
        <v>27538</v>
      </c>
    </row>
    <row r="532" spans="1:11" x14ac:dyDescent="0.3">
      <c r="A532" t="s">
        <v>2310</v>
      </c>
      <c r="B532">
        <v>531</v>
      </c>
      <c r="C532" t="s">
        <v>2341</v>
      </c>
      <c r="D532">
        <v>61</v>
      </c>
      <c r="E532" s="21">
        <v>6811</v>
      </c>
      <c r="F532" s="21">
        <v>90973</v>
      </c>
      <c r="G532">
        <v>8.8999999999999996E-2</v>
      </c>
      <c r="H532">
        <v>20</v>
      </c>
      <c r="I532">
        <v>733</v>
      </c>
      <c r="J532">
        <v>4</v>
      </c>
      <c r="K532" s="21">
        <v>21178</v>
      </c>
    </row>
    <row r="533" spans="1:11" x14ac:dyDescent="0.3">
      <c r="A533" t="s">
        <v>2310</v>
      </c>
      <c r="B533">
        <v>532</v>
      </c>
      <c r="C533" t="s">
        <v>2342</v>
      </c>
      <c r="D533">
        <v>33</v>
      </c>
      <c r="E533" s="21">
        <v>6290</v>
      </c>
      <c r="F533" s="21">
        <v>257169</v>
      </c>
      <c r="G533">
        <v>0.123</v>
      </c>
      <c r="H533">
        <v>30</v>
      </c>
      <c r="I533">
        <v>769</v>
      </c>
      <c r="J533">
        <v>0</v>
      </c>
      <c r="K533" s="21">
        <v>1648</v>
      </c>
    </row>
    <row r="534" spans="1:11" x14ac:dyDescent="0.3">
      <c r="A534" t="s">
        <v>2310</v>
      </c>
      <c r="B534">
        <v>533</v>
      </c>
      <c r="C534" t="s">
        <v>2343</v>
      </c>
      <c r="D534">
        <v>64</v>
      </c>
      <c r="E534" s="21">
        <v>12916</v>
      </c>
      <c r="F534" s="21">
        <v>472248</v>
      </c>
      <c r="G534">
        <v>8.2000000000000003E-2</v>
      </c>
      <c r="H534">
        <v>25</v>
      </c>
      <c r="I534">
        <v>669</v>
      </c>
      <c r="J534">
        <v>0</v>
      </c>
      <c r="K534" s="21">
        <v>5106</v>
      </c>
    </row>
    <row r="535" spans="1:11" x14ac:dyDescent="0.3">
      <c r="A535" t="s">
        <v>2310</v>
      </c>
      <c r="B535">
        <v>534</v>
      </c>
      <c r="C535" t="s">
        <v>2344</v>
      </c>
      <c r="D535">
        <v>24</v>
      </c>
      <c r="E535" s="21">
        <v>7705</v>
      </c>
      <c r="F535" s="21">
        <v>439654</v>
      </c>
      <c r="G535">
        <v>9.4E-2</v>
      </c>
      <c r="H535">
        <v>30</v>
      </c>
      <c r="I535">
        <v>700</v>
      </c>
      <c r="J535">
        <v>3</v>
      </c>
      <c r="K535" s="21">
        <v>39267</v>
      </c>
    </row>
    <row r="536" spans="1:11" x14ac:dyDescent="0.3">
      <c r="A536" t="s">
        <v>2310</v>
      </c>
      <c r="B536">
        <v>535</v>
      </c>
      <c r="C536" t="s">
        <v>2345</v>
      </c>
      <c r="D536">
        <v>39</v>
      </c>
      <c r="E536" s="21">
        <v>7670</v>
      </c>
      <c r="F536" s="21">
        <v>321327</v>
      </c>
      <c r="G536">
        <v>8.5999999999999993E-2</v>
      </c>
      <c r="H536">
        <v>30</v>
      </c>
      <c r="I536">
        <v>767</v>
      </c>
      <c r="J536">
        <v>15</v>
      </c>
      <c r="K536" s="21">
        <v>9676</v>
      </c>
    </row>
    <row r="537" spans="1:11" x14ac:dyDescent="0.3">
      <c r="A537" t="s">
        <v>2310</v>
      </c>
      <c r="B537">
        <v>536</v>
      </c>
      <c r="C537" t="s">
        <v>2346</v>
      </c>
      <c r="D537">
        <v>29</v>
      </c>
      <c r="E537" s="21">
        <v>6580</v>
      </c>
      <c r="F537" s="21">
        <v>359592</v>
      </c>
      <c r="G537">
        <v>7.4999999999999997E-2</v>
      </c>
      <c r="H537">
        <v>10</v>
      </c>
      <c r="I537">
        <v>804</v>
      </c>
      <c r="J537">
        <v>13</v>
      </c>
      <c r="K537" s="21">
        <v>44880</v>
      </c>
    </row>
    <row r="538" spans="1:11" x14ac:dyDescent="0.3">
      <c r="A538" t="s">
        <v>2310</v>
      </c>
      <c r="B538">
        <v>537</v>
      </c>
      <c r="C538" t="s">
        <v>2347</v>
      </c>
      <c r="D538">
        <v>56</v>
      </c>
      <c r="E538" s="21">
        <v>6911</v>
      </c>
      <c r="F538" s="21">
        <v>385488</v>
      </c>
      <c r="G538">
        <v>6.4000000000000001E-2</v>
      </c>
      <c r="H538">
        <v>20</v>
      </c>
      <c r="I538">
        <v>605</v>
      </c>
      <c r="J538">
        <v>3</v>
      </c>
      <c r="K538" s="21">
        <v>14524</v>
      </c>
    </row>
    <row r="539" spans="1:11" x14ac:dyDescent="0.3">
      <c r="A539" t="s">
        <v>2310</v>
      </c>
      <c r="B539">
        <v>538</v>
      </c>
      <c r="C539" t="s">
        <v>2348</v>
      </c>
      <c r="D539">
        <v>30</v>
      </c>
      <c r="E539" s="21">
        <v>10795</v>
      </c>
      <c r="F539" s="21">
        <v>337520</v>
      </c>
      <c r="G539">
        <v>9.9000000000000005E-2</v>
      </c>
      <c r="H539">
        <v>20</v>
      </c>
      <c r="I539">
        <v>734</v>
      </c>
      <c r="J539">
        <v>5</v>
      </c>
      <c r="K539" s="21">
        <v>34968</v>
      </c>
    </row>
    <row r="540" spans="1:11" x14ac:dyDescent="0.3">
      <c r="A540" t="s">
        <v>2310</v>
      </c>
      <c r="B540">
        <v>539</v>
      </c>
      <c r="C540" t="s">
        <v>2349</v>
      </c>
      <c r="D540">
        <v>64</v>
      </c>
      <c r="E540" s="21">
        <v>14757</v>
      </c>
      <c r="F540" s="21">
        <v>320402</v>
      </c>
      <c r="G540">
        <v>0.05</v>
      </c>
      <c r="H540">
        <v>10</v>
      </c>
      <c r="I540">
        <v>748</v>
      </c>
      <c r="J540">
        <v>16</v>
      </c>
      <c r="K540" s="21">
        <v>41425</v>
      </c>
    </row>
    <row r="541" spans="1:11" x14ac:dyDescent="0.3">
      <c r="A541" t="s">
        <v>2310</v>
      </c>
      <c r="B541">
        <v>540</v>
      </c>
      <c r="C541" t="s">
        <v>2350</v>
      </c>
      <c r="D541">
        <v>65</v>
      </c>
      <c r="E541" s="21">
        <v>10769</v>
      </c>
      <c r="F541" s="21">
        <v>280707</v>
      </c>
      <c r="G541">
        <v>0.14899999999999999</v>
      </c>
      <c r="H541">
        <v>30</v>
      </c>
      <c r="I541">
        <v>846</v>
      </c>
      <c r="J541">
        <v>10</v>
      </c>
      <c r="K541" s="21">
        <v>12048</v>
      </c>
    </row>
    <row r="542" spans="1:11" x14ac:dyDescent="0.3">
      <c r="A542" t="s">
        <v>2310</v>
      </c>
      <c r="B542">
        <v>541</v>
      </c>
      <c r="C542" t="s">
        <v>2351</v>
      </c>
      <c r="D542">
        <v>29</v>
      </c>
      <c r="E542" s="21">
        <v>13960</v>
      </c>
      <c r="F542" s="21">
        <v>445945</v>
      </c>
      <c r="G542">
        <v>0.14099999999999999</v>
      </c>
      <c r="H542">
        <v>10</v>
      </c>
      <c r="I542">
        <v>829</v>
      </c>
      <c r="J542">
        <v>0</v>
      </c>
      <c r="K542" s="21">
        <v>8942</v>
      </c>
    </row>
    <row r="543" spans="1:11" x14ac:dyDescent="0.3">
      <c r="A543" t="s">
        <v>2310</v>
      </c>
      <c r="B543">
        <v>542</v>
      </c>
      <c r="C543" t="s">
        <v>2352</v>
      </c>
      <c r="D543">
        <v>51</v>
      </c>
      <c r="E543" s="21">
        <v>3947</v>
      </c>
      <c r="F543" s="21">
        <v>92052</v>
      </c>
      <c r="G543">
        <v>0.128</v>
      </c>
      <c r="H543">
        <v>30</v>
      </c>
      <c r="I543">
        <v>812</v>
      </c>
      <c r="J543">
        <v>0</v>
      </c>
      <c r="K543" s="21">
        <v>11729</v>
      </c>
    </row>
    <row r="544" spans="1:11" x14ac:dyDescent="0.3">
      <c r="A544" t="s">
        <v>2310</v>
      </c>
      <c r="B544">
        <v>543</v>
      </c>
      <c r="C544" t="s">
        <v>2353</v>
      </c>
      <c r="D544">
        <v>35</v>
      </c>
      <c r="E544" s="21">
        <v>4100</v>
      </c>
      <c r="F544" s="21">
        <v>449114</v>
      </c>
      <c r="G544">
        <v>8.3000000000000004E-2</v>
      </c>
      <c r="H544">
        <v>20</v>
      </c>
      <c r="I544">
        <v>620</v>
      </c>
      <c r="J544">
        <v>18</v>
      </c>
      <c r="K544" s="21">
        <v>16809</v>
      </c>
    </row>
    <row r="545" spans="1:11" x14ac:dyDescent="0.3">
      <c r="A545" t="s">
        <v>2310</v>
      </c>
      <c r="B545">
        <v>544</v>
      </c>
      <c r="C545" t="s">
        <v>2354</v>
      </c>
      <c r="D545">
        <v>36</v>
      </c>
      <c r="E545" s="21">
        <v>14984</v>
      </c>
      <c r="F545" s="21">
        <v>92395</v>
      </c>
      <c r="G545">
        <v>6.8000000000000005E-2</v>
      </c>
      <c r="H545">
        <v>30</v>
      </c>
      <c r="I545">
        <v>728</v>
      </c>
      <c r="J545">
        <v>7</v>
      </c>
      <c r="K545" s="21">
        <v>34895</v>
      </c>
    </row>
    <row r="546" spans="1:11" x14ac:dyDescent="0.3">
      <c r="A546" t="s">
        <v>2310</v>
      </c>
      <c r="B546">
        <v>545</v>
      </c>
      <c r="C546" t="s">
        <v>2355</v>
      </c>
      <c r="D546">
        <v>55</v>
      </c>
      <c r="E546" s="21">
        <v>2645</v>
      </c>
      <c r="F546" s="21">
        <v>221367</v>
      </c>
      <c r="G546">
        <v>0.10199999999999999</v>
      </c>
      <c r="H546">
        <v>25</v>
      </c>
      <c r="I546">
        <v>791</v>
      </c>
      <c r="J546">
        <v>5</v>
      </c>
      <c r="K546" s="21">
        <v>16165</v>
      </c>
    </row>
    <row r="547" spans="1:11" x14ac:dyDescent="0.3">
      <c r="A547" t="s">
        <v>2310</v>
      </c>
      <c r="B547">
        <v>546</v>
      </c>
      <c r="C547" t="s">
        <v>2356</v>
      </c>
      <c r="D547">
        <v>37</v>
      </c>
      <c r="E547" s="21">
        <v>8390</v>
      </c>
      <c r="F547" s="21">
        <v>288771</v>
      </c>
      <c r="G547">
        <v>8.4000000000000005E-2</v>
      </c>
      <c r="H547">
        <v>20</v>
      </c>
      <c r="I547">
        <v>683</v>
      </c>
      <c r="J547">
        <v>0</v>
      </c>
      <c r="K547" s="21">
        <v>23845</v>
      </c>
    </row>
    <row r="548" spans="1:11" x14ac:dyDescent="0.3">
      <c r="A548" t="s">
        <v>2310</v>
      </c>
      <c r="B548">
        <v>547</v>
      </c>
      <c r="C548" t="s">
        <v>2357</v>
      </c>
      <c r="D548">
        <v>32</v>
      </c>
      <c r="E548" s="21">
        <v>2545</v>
      </c>
      <c r="F548" s="21">
        <v>59162</v>
      </c>
      <c r="G548">
        <v>0.112</v>
      </c>
      <c r="H548">
        <v>30</v>
      </c>
      <c r="I548">
        <v>803</v>
      </c>
      <c r="J548">
        <v>0</v>
      </c>
      <c r="K548" s="21">
        <v>972</v>
      </c>
    </row>
    <row r="549" spans="1:11" x14ac:dyDescent="0.3">
      <c r="A549" t="s">
        <v>2310</v>
      </c>
      <c r="B549">
        <v>548</v>
      </c>
      <c r="C549" t="s">
        <v>2358</v>
      </c>
      <c r="D549">
        <v>37</v>
      </c>
      <c r="E549" s="21">
        <v>9433</v>
      </c>
      <c r="F549" s="21">
        <v>219825</v>
      </c>
      <c r="G549">
        <v>0.107</v>
      </c>
      <c r="H549">
        <v>15</v>
      </c>
      <c r="I549">
        <v>674</v>
      </c>
      <c r="J549">
        <v>7</v>
      </c>
      <c r="K549" s="21">
        <v>24054</v>
      </c>
    </row>
    <row r="550" spans="1:11" x14ac:dyDescent="0.3">
      <c r="A550" t="s">
        <v>2310</v>
      </c>
      <c r="B550">
        <v>549</v>
      </c>
      <c r="C550" t="s">
        <v>2359</v>
      </c>
      <c r="D550">
        <v>23</v>
      </c>
      <c r="E550" s="21">
        <v>9812</v>
      </c>
      <c r="F550" s="21">
        <v>434140</v>
      </c>
      <c r="G550">
        <v>7.5999999999999998E-2</v>
      </c>
      <c r="H550">
        <v>20</v>
      </c>
      <c r="I550">
        <v>745</v>
      </c>
      <c r="J550">
        <v>1</v>
      </c>
      <c r="K550" s="21">
        <v>45620</v>
      </c>
    </row>
    <row r="551" spans="1:11" x14ac:dyDescent="0.3">
      <c r="A551" t="s">
        <v>2310</v>
      </c>
      <c r="B551">
        <v>550</v>
      </c>
      <c r="C551" t="s">
        <v>2360</v>
      </c>
      <c r="D551">
        <v>23</v>
      </c>
      <c r="E551" s="21">
        <v>6888</v>
      </c>
      <c r="F551" s="21">
        <v>388872</v>
      </c>
      <c r="G551">
        <v>8.5000000000000006E-2</v>
      </c>
      <c r="H551">
        <v>25</v>
      </c>
      <c r="I551">
        <v>612</v>
      </c>
      <c r="J551">
        <v>15</v>
      </c>
      <c r="K551" s="21">
        <v>36794</v>
      </c>
    </row>
    <row r="552" spans="1:11" x14ac:dyDescent="0.3">
      <c r="A552" t="s">
        <v>2361</v>
      </c>
      <c r="B552">
        <v>551</v>
      </c>
      <c r="C552" t="s">
        <v>2362</v>
      </c>
      <c r="D552">
        <v>55</v>
      </c>
      <c r="E552" s="21">
        <v>13534</v>
      </c>
      <c r="F552" s="21">
        <v>385889</v>
      </c>
      <c r="G552">
        <v>5.6000000000000001E-2</v>
      </c>
      <c r="H552">
        <v>15</v>
      </c>
      <c r="I552">
        <v>834</v>
      </c>
      <c r="J552">
        <v>3</v>
      </c>
      <c r="K552" s="21">
        <v>24702</v>
      </c>
    </row>
    <row r="553" spans="1:11" x14ac:dyDescent="0.3">
      <c r="A553" t="s">
        <v>2361</v>
      </c>
      <c r="B553">
        <v>552</v>
      </c>
      <c r="C553" t="s">
        <v>2363</v>
      </c>
      <c r="D553">
        <v>38</v>
      </c>
      <c r="E553" s="21">
        <v>5559</v>
      </c>
      <c r="F553" s="21">
        <v>478480</v>
      </c>
      <c r="G553">
        <v>0.126</v>
      </c>
      <c r="H553">
        <v>25</v>
      </c>
      <c r="I553">
        <v>844</v>
      </c>
      <c r="J553">
        <v>11</v>
      </c>
      <c r="K553" s="21">
        <v>49672</v>
      </c>
    </row>
    <row r="554" spans="1:11" x14ac:dyDescent="0.3">
      <c r="A554" t="s">
        <v>2361</v>
      </c>
      <c r="B554">
        <v>553</v>
      </c>
      <c r="C554" t="s">
        <v>2364</v>
      </c>
      <c r="D554">
        <v>46</v>
      </c>
      <c r="E554" s="21">
        <v>14602</v>
      </c>
      <c r="F554" s="21">
        <v>205597</v>
      </c>
      <c r="G554">
        <v>0.114</v>
      </c>
      <c r="H554">
        <v>15</v>
      </c>
      <c r="I554">
        <v>791</v>
      </c>
      <c r="J554">
        <v>18</v>
      </c>
      <c r="K554" s="21">
        <v>23035</v>
      </c>
    </row>
    <row r="555" spans="1:11" x14ac:dyDescent="0.3">
      <c r="A555" t="s">
        <v>2361</v>
      </c>
      <c r="B555">
        <v>554</v>
      </c>
      <c r="C555" t="s">
        <v>2365</v>
      </c>
      <c r="D555">
        <v>29</v>
      </c>
      <c r="E555" s="21">
        <v>6264</v>
      </c>
      <c r="F555" s="21">
        <v>120463</v>
      </c>
      <c r="G555">
        <v>7.4999999999999997E-2</v>
      </c>
      <c r="H555">
        <v>15</v>
      </c>
      <c r="I555">
        <v>824</v>
      </c>
      <c r="J555">
        <v>7</v>
      </c>
      <c r="K555" s="21">
        <v>30396</v>
      </c>
    </row>
    <row r="556" spans="1:11" x14ac:dyDescent="0.3">
      <c r="A556" t="s">
        <v>2361</v>
      </c>
      <c r="B556">
        <v>555</v>
      </c>
      <c r="C556" t="s">
        <v>2366</v>
      </c>
      <c r="D556">
        <v>55</v>
      </c>
      <c r="E556" s="21">
        <v>6264</v>
      </c>
      <c r="F556" s="21">
        <v>59307</v>
      </c>
      <c r="G556">
        <v>8.5999999999999993E-2</v>
      </c>
      <c r="H556">
        <v>30</v>
      </c>
      <c r="I556">
        <v>780</v>
      </c>
      <c r="J556">
        <v>8</v>
      </c>
      <c r="K556" s="21">
        <v>4406</v>
      </c>
    </row>
    <row r="557" spans="1:11" x14ac:dyDescent="0.3">
      <c r="A557" t="s">
        <v>2361</v>
      </c>
      <c r="B557">
        <v>556</v>
      </c>
      <c r="C557" t="s">
        <v>2367</v>
      </c>
      <c r="D557">
        <v>59</v>
      </c>
      <c r="E557" s="21">
        <v>12043</v>
      </c>
      <c r="F557" s="21">
        <v>494506</v>
      </c>
      <c r="G557">
        <v>0.05</v>
      </c>
      <c r="H557">
        <v>30</v>
      </c>
      <c r="I557">
        <v>790</v>
      </c>
      <c r="J557">
        <v>1</v>
      </c>
      <c r="K557" s="21">
        <v>31092</v>
      </c>
    </row>
    <row r="558" spans="1:11" x14ac:dyDescent="0.3">
      <c r="A558" t="s">
        <v>2361</v>
      </c>
      <c r="B558">
        <v>557</v>
      </c>
      <c r="C558" t="s">
        <v>2368</v>
      </c>
      <c r="D558">
        <v>49</v>
      </c>
      <c r="E558" s="21">
        <v>10385</v>
      </c>
      <c r="F558" s="21">
        <v>291978</v>
      </c>
      <c r="G558">
        <v>6.3E-2</v>
      </c>
      <c r="H558">
        <v>10</v>
      </c>
      <c r="I558">
        <v>782</v>
      </c>
      <c r="J558">
        <v>0</v>
      </c>
      <c r="K558" s="21">
        <v>49885</v>
      </c>
    </row>
    <row r="559" spans="1:11" x14ac:dyDescent="0.3">
      <c r="A559" t="s">
        <v>2361</v>
      </c>
      <c r="B559">
        <v>558</v>
      </c>
      <c r="C559" t="s">
        <v>2369</v>
      </c>
      <c r="D559">
        <v>43</v>
      </c>
      <c r="E559" s="21">
        <v>3897</v>
      </c>
      <c r="F559" s="21">
        <v>82129</v>
      </c>
      <c r="G559">
        <v>0.108</v>
      </c>
      <c r="H559">
        <v>10</v>
      </c>
      <c r="I559">
        <v>732</v>
      </c>
      <c r="J559">
        <v>19</v>
      </c>
      <c r="K559" s="21">
        <v>39887</v>
      </c>
    </row>
    <row r="560" spans="1:11" x14ac:dyDescent="0.3">
      <c r="A560" t="s">
        <v>2361</v>
      </c>
      <c r="B560">
        <v>559</v>
      </c>
      <c r="C560" t="s">
        <v>2370</v>
      </c>
      <c r="D560">
        <v>31</v>
      </c>
      <c r="E560" s="21">
        <v>9865</v>
      </c>
      <c r="F560" s="21">
        <v>228217</v>
      </c>
      <c r="G560">
        <v>0.114</v>
      </c>
      <c r="H560">
        <v>10</v>
      </c>
      <c r="I560">
        <v>600</v>
      </c>
      <c r="J560">
        <v>6</v>
      </c>
      <c r="K560" s="21">
        <v>20705</v>
      </c>
    </row>
    <row r="561" spans="1:11" x14ac:dyDescent="0.3">
      <c r="A561" t="s">
        <v>2361</v>
      </c>
      <c r="B561">
        <v>560</v>
      </c>
      <c r="C561" t="s">
        <v>2371</v>
      </c>
      <c r="D561">
        <v>23</v>
      </c>
      <c r="E561" s="21">
        <v>3762</v>
      </c>
      <c r="F561" s="21">
        <v>175930</v>
      </c>
      <c r="G561">
        <v>8.5999999999999993E-2</v>
      </c>
      <c r="H561">
        <v>30</v>
      </c>
      <c r="I561">
        <v>642</v>
      </c>
      <c r="J561">
        <v>20</v>
      </c>
      <c r="K561" s="21">
        <v>28875</v>
      </c>
    </row>
    <row r="562" spans="1:11" x14ac:dyDescent="0.3">
      <c r="A562" t="s">
        <v>2361</v>
      </c>
      <c r="B562">
        <v>561</v>
      </c>
      <c r="C562" t="s">
        <v>2372</v>
      </c>
      <c r="D562">
        <v>63</v>
      </c>
      <c r="E562" s="21">
        <v>6084</v>
      </c>
      <c r="F562" s="21">
        <v>410714</v>
      </c>
      <c r="G562">
        <v>0.104</v>
      </c>
      <c r="H562">
        <v>20</v>
      </c>
      <c r="I562">
        <v>831</v>
      </c>
      <c r="J562">
        <v>13</v>
      </c>
      <c r="K562" s="21">
        <v>19288</v>
      </c>
    </row>
    <row r="563" spans="1:11" x14ac:dyDescent="0.3">
      <c r="A563" t="s">
        <v>2361</v>
      </c>
      <c r="B563">
        <v>562</v>
      </c>
      <c r="C563" t="s">
        <v>2373</v>
      </c>
      <c r="D563">
        <v>51</v>
      </c>
      <c r="E563" s="21">
        <v>6352</v>
      </c>
      <c r="F563" s="21">
        <v>480868</v>
      </c>
      <c r="G563">
        <v>0.13100000000000001</v>
      </c>
      <c r="H563">
        <v>10</v>
      </c>
      <c r="I563">
        <v>674</v>
      </c>
      <c r="J563">
        <v>17</v>
      </c>
      <c r="K563" s="21">
        <v>33935</v>
      </c>
    </row>
    <row r="564" spans="1:11" x14ac:dyDescent="0.3">
      <c r="A564" t="s">
        <v>2361</v>
      </c>
      <c r="B564">
        <v>563</v>
      </c>
      <c r="C564" t="s">
        <v>2374</v>
      </c>
      <c r="D564">
        <v>32</v>
      </c>
      <c r="E564" s="21">
        <v>11010</v>
      </c>
      <c r="F564" s="21">
        <v>485448</v>
      </c>
      <c r="G564">
        <v>7.9000000000000001E-2</v>
      </c>
      <c r="H564">
        <v>25</v>
      </c>
      <c r="I564">
        <v>702</v>
      </c>
      <c r="J564">
        <v>12</v>
      </c>
      <c r="K564" s="21">
        <v>22409</v>
      </c>
    </row>
    <row r="565" spans="1:11" x14ac:dyDescent="0.3">
      <c r="A565" t="s">
        <v>2361</v>
      </c>
      <c r="B565">
        <v>564</v>
      </c>
      <c r="C565" t="s">
        <v>2375</v>
      </c>
      <c r="D565">
        <v>24</v>
      </c>
      <c r="E565" s="21">
        <v>10532</v>
      </c>
      <c r="F565" s="21">
        <v>344074</v>
      </c>
      <c r="G565">
        <v>7.0000000000000007E-2</v>
      </c>
      <c r="H565">
        <v>20</v>
      </c>
      <c r="I565">
        <v>762</v>
      </c>
      <c r="J565">
        <v>4</v>
      </c>
      <c r="K565" s="21">
        <v>48954</v>
      </c>
    </row>
    <row r="566" spans="1:11" x14ac:dyDescent="0.3">
      <c r="A566" t="s">
        <v>2361</v>
      </c>
      <c r="B566">
        <v>565</v>
      </c>
      <c r="C566" t="s">
        <v>2376</v>
      </c>
      <c r="D566">
        <v>38</v>
      </c>
      <c r="E566" s="21">
        <v>2817</v>
      </c>
      <c r="F566" s="21">
        <v>164115</v>
      </c>
      <c r="G566">
        <v>6.8000000000000005E-2</v>
      </c>
      <c r="H566">
        <v>25</v>
      </c>
      <c r="I566">
        <v>772</v>
      </c>
      <c r="J566">
        <v>20</v>
      </c>
      <c r="K566" s="21">
        <v>43054</v>
      </c>
    </row>
    <row r="567" spans="1:11" x14ac:dyDescent="0.3">
      <c r="A567" t="s">
        <v>2361</v>
      </c>
      <c r="B567">
        <v>566</v>
      </c>
      <c r="C567" t="s">
        <v>2377</v>
      </c>
      <c r="D567">
        <v>30</v>
      </c>
      <c r="E567" s="21">
        <v>7831</v>
      </c>
      <c r="F567" s="21">
        <v>489832</v>
      </c>
      <c r="G567">
        <v>0.11700000000000001</v>
      </c>
      <c r="H567">
        <v>25</v>
      </c>
      <c r="I567">
        <v>601</v>
      </c>
      <c r="J567">
        <v>17</v>
      </c>
      <c r="K567" s="21">
        <v>4869</v>
      </c>
    </row>
    <row r="568" spans="1:11" x14ac:dyDescent="0.3">
      <c r="A568" t="s">
        <v>2361</v>
      </c>
      <c r="B568">
        <v>567</v>
      </c>
      <c r="C568" t="s">
        <v>2378</v>
      </c>
      <c r="D568">
        <v>37</v>
      </c>
      <c r="E568" s="21">
        <v>14622</v>
      </c>
      <c r="F568" s="21">
        <v>187776</v>
      </c>
      <c r="G568">
        <v>0.115</v>
      </c>
      <c r="H568">
        <v>30</v>
      </c>
      <c r="I568">
        <v>751</v>
      </c>
      <c r="J568">
        <v>13</v>
      </c>
      <c r="K568" s="21">
        <v>14109</v>
      </c>
    </row>
    <row r="569" spans="1:11" x14ac:dyDescent="0.3">
      <c r="A569" t="s">
        <v>2361</v>
      </c>
      <c r="B569">
        <v>568</v>
      </c>
      <c r="C569" t="s">
        <v>2379</v>
      </c>
      <c r="D569">
        <v>39</v>
      </c>
      <c r="E569" s="21">
        <v>3001</v>
      </c>
      <c r="F569" s="21">
        <v>98171</v>
      </c>
      <c r="G569">
        <v>9.9000000000000005E-2</v>
      </c>
      <c r="H569">
        <v>15</v>
      </c>
      <c r="I569">
        <v>679</v>
      </c>
      <c r="J569">
        <v>9</v>
      </c>
      <c r="K569" s="21">
        <v>48334</v>
      </c>
    </row>
    <row r="570" spans="1:11" x14ac:dyDescent="0.3">
      <c r="A570" t="s">
        <v>2361</v>
      </c>
      <c r="B570">
        <v>569</v>
      </c>
      <c r="C570" t="s">
        <v>2380</v>
      </c>
      <c r="D570">
        <v>41</v>
      </c>
      <c r="E570" s="21">
        <v>11346</v>
      </c>
      <c r="F570" s="21">
        <v>290151</v>
      </c>
      <c r="G570">
        <v>9.8000000000000004E-2</v>
      </c>
      <c r="H570">
        <v>25</v>
      </c>
      <c r="I570">
        <v>629</v>
      </c>
      <c r="J570">
        <v>7</v>
      </c>
      <c r="K570" s="21">
        <v>27822</v>
      </c>
    </row>
    <row r="571" spans="1:11" x14ac:dyDescent="0.3">
      <c r="A571" t="s">
        <v>2361</v>
      </c>
      <c r="B571">
        <v>570</v>
      </c>
      <c r="C571" t="s">
        <v>2381</v>
      </c>
      <c r="D571">
        <v>33</v>
      </c>
      <c r="E571" s="21">
        <v>3997</v>
      </c>
      <c r="F571" s="21">
        <v>444360</v>
      </c>
      <c r="G571">
        <v>0.114</v>
      </c>
      <c r="H571">
        <v>15</v>
      </c>
      <c r="I571">
        <v>682</v>
      </c>
      <c r="J571">
        <v>12</v>
      </c>
      <c r="K571" s="21">
        <v>46312</v>
      </c>
    </row>
    <row r="572" spans="1:11" x14ac:dyDescent="0.3">
      <c r="A572" t="s">
        <v>2361</v>
      </c>
      <c r="B572">
        <v>571</v>
      </c>
      <c r="C572" t="s">
        <v>2382</v>
      </c>
      <c r="D572">
        <v>22</v>
      </c>
      <c r="E572" s="21">
        <v>3476</v>
      </c>
      <c r="F572" s="21">
        <v>328192</v>
      </c>
      <c r="G572">
        <v>0.111</v>
      </c>
      <c r="H572">
        <v>10</v>
      </c>
      <c r="I572">
        <v>708</v>
      </c>
      <c r="J572">
        <v>9</v>
      </c>
      <c r="K572" s="21">
        <v>41833</v>
      </c>
    </row>
    <row r="573" spans="1:11" x14ac:dyDescent="0.3">
      <c r="A573" t="s">
        <v>2361</v>
      </c>
      <c r="B573">
        <v>572</v>
      </c>
      <c r="C573" t="s">
        <v>2383</v>
      </c>
      <c r="D573">
        <v>36</v>
      </c>
      <c r="E573" s="21">
        <v>11453</v>
      </c>
      <c r="F573" s="21">
        <v>311211</v>
      </c>
      <c r="G573">
        <v>0.13600000000000001</v>
      </c>
      <c r="H573">
        <v>15</v>
      </c>
      <c r="I573">
        <v>722</v>
      </c>
      <c r="J573">
        <v>11</v>
      </c>
      <c r="K573" s="21">
        <v>18100</v>
      </c>
    </row>
    <row r="574" spans="1:11" x14ac:dyDescent="0.3">
      <c r="A574" t="s">
        <v>2361</v>
      </c>
      <c r="B574">
        <v>573</v>
      </c>
      <c r="C574" t="s">
        <v>2384</v>
      </c>
      <c r="D574">
        <v>62</v>
      </c>
      <c r="E574" s="21">
        <v>5022</v>
      </c>
      <c r="F574" s="21">
        <v>89689</v>
      </c>
      <c r="G574">
        <v>0.14499999999999999</v>
      </c>
      <c r="H574">
        <v>20</v>
      </c>
      <c r="I574">
        <v>757</v>
      </c>
      <c r="J574">
        <v>3</v>
      </c>
      <c r="K574" s="21">
        <v>30812</v>
      </c>
    </row>
    <row r="575" spans="1:11" x14ac:dyDescent="0.3">
      <c r="A575" t="s">
        <v>2361</v>
      </c>
      <c r="B575">
        <v>574</v>
      </c>
      <c r="C575" t="s">
        <v>2385</v>
      </c>
      <c r="D575">
        <v>48</v>
      </c>
      <c r="E575" s="21">
        <v>9699</v>
      </c>
      <c r="F575" s="21">
        <v>281028</v>
      </c>
      <c r="G575">
        <v>5.5E-2</v>
      </c>
      <c r="H575">
        <v>20</v>
      </c>
      <c r="I575">
        <v>734</v>
      </c>
      <c r="J575">
        <v>20</v>
      </c>
      <c r="K575" s="21">
        <v>8046</v>
      </c>
    </row>
    <row r="576" spans="1:11" x14ac:dyDescent="0.3">
      <c r="A576" t="s">
        <v>2361</v>
      </c>
      <c r="B576">
        <v>575</v>
      </c>
      <c r="C576" t="s">
        <v>2386</v>
      </c>
      <c r="D576">
        <v>62</v>
      </c>
      <c r="E576" s="21">
        <v>12427</v>
      </c>
      <c r="F576" s="21">
        <v>459224</v>
      </c>
      <c r="G576">
        <v>5.3999999999999999E-2</v>
      </c>
      <c r="H576">
        <v>20</v>
      </c>
      <c r="I576">
        <v>616</v>
      </c>
      <c r="J576">
        <v>7</v>
      </c>
      <c r="K576" s="21">
        <v>49628</v>
      </c>
    </row>
    <row r="577" spans="1:11" x14ac:dyDescent="0.3">
      <c r="A577" t="s">
        <v>2361</v>
      </c>
      <c r="B577">
        <v>576</v>
      </c>
      <c r="C577" t="s">
        <v>2387</v>
      </c>
      <c r="D577">
        <v>60</v>
      </c>
      <c r="E577" s="21">
        <v>5113</v>
      </c>
      <c r="F577" s="21">
        <v>227411</v>
      </c>
      <c r="G577">
        <v>8.5999999999999993E-2</v>
      </c>
      <c r="H577">
        <v>10</v>
      </c>
      <c r="I577">
        <v>676</v>
      </c>
      <c r="J577">
        <v>3</v>
      </c>
      <c r="K577" s="21">
        <v>21007</v>
      </c>
    </row>
    <row r="578" spans="1:11" x14ac:dyDescent="0.3">
      <c r="A578" t="s">
        <v>2361</v>
      </c>
      <c r="B578">
        <v>577</v>
      </c>
      <c r="C578" t="s">
        <v>2388</v>
      </c>
      <c r="D578">
        <v>21</v>
      </c>
      <c r="E578" s="21">
        <v>5934</v>
      </c>
      <c r="F578" s="21">
        <v>272128</v>
      </c>
      <c r="G578">
        <v>0.10299999999999999</v>
      </c>
      <c r="H578">
        <v>10</v>
      </c>
      <c r="I578">
        <v>641</v>
      </c>
      <c r="J578">
        <v>2</v>
      </c>
      <c r="K578" s="21">
        <v>47707</v>
      </c>
    </row>
    <row r="579" spans="1:11" x14ac:dyDescent="0.3">
      <c r="A579" t="s">
        <v>2361</v>
      </c>
      <c r="B579">
        <v>578</v>
      </c>
      <c r="C579" t="s">
        <v>2389</v>
      </c>
      <c r="D579">
        <v>65</v>
      </c>
      <c r="E579" s="21">
        <v>6276</v>
      </c>
      <c r="F579" s="21">
        <v>358095</v>
      </c>
      <c r="G579">
        <v>9.4E-2</v>
      </c>
      <c r="H579">
        <v>30</v>
      </c>
      <c r="I579">
        <v>708</v>
      </c>
      <c r="J579">
        <v>15</v>
      </c>
      <c r="K579" s="21">
        <v>2617</v>
      </c>
    </row>
    <row r="580" spans="1:11" x14ac:dyDescent="0.3">
      <c r="A580" t="s">
        <v>2361</v>
      </c>
      <c r="B580">
        <v>579</v>
      </c>
      <c r="C580" t="s">
        <v>2390</v>
      </c>
      <c r="D580">
        <v>29</v>
      </c>
      <c r="E580" s="21">
        <v>2757</v>
      </c>
      <c r="F580" s="21">
        <v>467883</v>
      </c>
      <c r="G580">
        <v>0.1</v>
      </c>
      <c r="H580">
        <v>15</v>
      </c>
      <c r="I580">
        <v>656</v>
      </c>
      <c r="J580">
        <v>14</v>
      </c>
      <c r="K580" s="21">
        <v>48167</v>
      </c>
    </row>
    <row r="581" spans="1:11" x14ac:dyDescent="0.3">
      <c r="A581" t="s">
        <v>2361</v>
      </c>
      <c r="B581">
        <v>580</v>
      </c>
      <c r="C581" t="s">
        <v>2391</v>
      </c>
      <c r="D581">
        <v>28</v>
      </c>
      <c r="E581" s="21">
        <v>14660</v>
      </c>
      <c r="F581" s="21">
        <v>412798</v>
      </c>
      <c r="G581">
        <v>0.123</v>
      </c>
      <c r="H581">
        <v>30</v>
      </c>
      <c r="I581">
        <v>687</v>
      </c>
      <c r="J581">
        <v>5</v>
      </c>
      <c r="K581" s="21">
        <v>28130</v>
      </c>
    </row>
    <row r="582" spans="1:11" x14ac:dyDescent="0.3">
      <c r="A582" t="s">
        <v>2361</v>
      </c>
      <c r="B582">
        <v>581</v>
      </c>
      <c r="C582" t="s">
        <v>2392</v>
      </c>
      <c r="D582">
        <v>64</v>
      </c>
      <c r="E582" s="21">
        <v>6218</v>
      </c>
      <c r="F582" s="21">
        <v>309054</v>
      </c>
      <c r="G582">
        <v>6.4000000000000001E-2</v>
      </c>
      <c r="H582">
        <v>20</v>
      </c>
      <c r="I582">
        <v>732</v>
      </c>
      <c r="J582">
        <v>7</v>
      </c>
      <c r="K582" s="21">
        <v>43271</v>
      </c>
    </row>
    <row r="583" spans="1:11" x14ac:dyDescent="0.3">
      <c r="A583" t="s">
        <v>2361</v>
      </c>
      <c r="B583">
        <v>582</v>
      </c>
      <c r="C583" t="s">
        <v>2393</v>
      </c>
      <c r="D583">
        <v>34</v>
      </c>
      <c r="E583" s="21">
        <v>11929</v>
      </c>
      <c r="F583" s="21">
        <v>446635</v>
      </c>
      <c r="G583">
        <v>0.08</v>
      </c>
      <c r="H583">
        <v>20</v>
      </c>
      <c r="I583">
        <v>729</v>
      </c>
      <c r="J583">
        <v>15</v>
      </c>
      <c r="K583" s="21">
        <v>27732</v>
      </c>
    </row>
    <row r="584" spans="1:11" x14ac:dyDescent="0.3">
      <c r="A584" t="s">
        <v>2361</v>
      </c>
      <c r="B584">
        <v>583</v>
      </c>
      <c r="C584" t="s">
        <v>2394</v>
      </c>
      <c r="D584">
        <v>34</v>
      </c>
      <c r="E584" s="21">
        <v>7976</v>
      </c>
      <c r="F584" s="21">
        <v>337191</v>
      </c>
      <c r="G584">
        <v>7.5999999999999998E-2</v>
      </c>
      <c r="H584">
        <v>20</v>
      </c>
      <c r="I584">
        <v>696</v>
      </c>
      <c r="J584">
        <v>4</v>
      </c>
      <c r="K584" s="21">
        <v>9842</v>
      </c>
    </row>
    <row r="585" spans="1:11" x14ac:dyDescent="0.3">
      <c r="A585" t="s">
        <v>2361</v>
      </c>
      <c r="B585">
        <v>584</v>
      </c>
      <c r="C585" t="s">
        <v>2395</v>
      </c>
      <c r="D585">
        <v>59</v>
      </c>
      <c r="E585" s="21">
        <v>14434</v>
      </c>
      <c r="F585" s="21">
        <v>154566</v>
      </c>
      <c r="G585">
        <v>0.09</v>
      </c>
      <c r="H585">
        <v>20</v>
      </c>
      <c r="I585">
        <v>624</v>
      </c>
      <c r="J585">
        <v>18</v>
      </c>
      <c r="K585" s="21">
        <v>18297</v>
      </c>
    </row>
    <row r="586" spans="1:11" x14ac:dyDescent="0.3">
      <c r="A586" t="s">
        <v>2361</v>
      </c>
      <c r="B586">
        <v>585</v>
      </c>
      <c r="C586" t="s">
        <v>2396</v>
      </c>
      <c r="D586">
        <v>34</v>
      </c>
      <c r="E586" s="21">
        <v>9588</v>
      </c>
      <c r="F586" s="21">
        <v>151323</v>
      </c>
      <c r="G586">
        <v>0.124</v>
      </c>
      <c r="H586">
        <v>20</v>
      </c>
      <c r="I586">
        <v>771</v>
      </c>
      <c r="J586">
        <v>11</v>
      </c>
      <c r="K586" s="21">
        <v>21072</v>
      </c>
    </row>
    <row r="587" spans="1:11" x14ac:dyDescent="0.3">
      <c r="A587" t="s">
        <v>2361</v>
      </c>
      <c r="B587">
        <v>586</v>
      </c>
      <c r="C587" t="s">
        <v>2397</v>
      </c>
      <c r="D587">
        <v>21</v>
      </c>
      <c r="E587" s="21">
        <v>3221</v>
      </c>
      <c r="F587" s="21">
        <v>310447</v>
      </c>
      <c r="G587">
        <v>9.7000000000000003E-2</v>
      </c>
      <c r="H587">
        <v>25</v>
      </c>
      <c r="I587">
        <v>757</v>
      </c>
      <c r="J587">
        <v>10</v>
      </c>
      <c r="K587" s="21">
        <v>14898</v>
      </c>
    </row>
    <row r="588" spans="1:11" x14ac:dyDescent="0.3">
      <c r="A588" t="s">
        <v>2361</v>
      </c>
      <c r="B588">
        <v>587</v>
      </c>
      <c r="C588" t="s">
        <v>2398</v>
      </c>
      <c r="D588">
        <v>61</v>
      </c>
      <c r="E588" s="21">
        <v>2874</v>
      </c>
      <c r="F588" s="21">
        <v>217164</v>
      </c>
      <c r="G588">
        <v>8.6999999999999994E-2</v>
      </c>
      <c r="H588">
        <v>15</v>
      </c>
      <c r="I588">
        <v>689</v>
      </c>
      <c r="J588">
        <v>20</v>
      </c>
      <c r="K588" s="21">
        <v>29545</v>
      </c>
    </row>
    <row r="589" spans="1:11" x14ac:dyDescent="0.3">
      <c r="A589" t="s">
        <v>2361</v>
      </c>
      <c r="B589">
        <v>588</v>
      </c>
      <c r="C589" t="s">
        <v>2399</v>
      </c>
      <c r="D589">
        <v>56</v>
      </c>
      <c r="E589" s="21">
        <v>12435</v>
      </c>
      <c r="F589" s="21">
        <v>180943</v>
      </c>
      <c r="G589">
        <v>0.124</v>
      </c>
      <c r="H589">
        <v>20</v>
      </c>
      <c r="I589">
        <v>600</v>
      </c>
      <c r="J589">
        <v>6</v>
      </c>
      <c r="K589" s="21">
        <v>47219</v>
      </c>
    </row>
    <row r="590" spans="1:11" x14ac:dyDescent="0.3">
      <c r="A590" t="s">
        <v>2361</v>
      </c>
      <c r="B590">
        <v>589</v>
      </c>
      <c r="C590" t="s">
        <v>2400</v>
      </c>
      <c r="D590">
        <v>52</v>
      </c>
      <c r="E590" s="21">
        <v>13416</v>
      </c>
      <c r="F590" s="21">
        <v>306013</v>
      </c>
      <c r="G590">
        <v>9.5000000000000001E-2</v>
      </c>
      <c r="H590">
        <v>20</v>
      </c>
      <c r="I590">
        <v>844</v>
      </c>
      <c r="J590">
        <v>18</v>
      </c>
      <c r="K590" s="21">
        <v>41443</v>
      </c>
    </row>
    <row r="591" spans="1:11" x14ac:dyDescent="0.3">
      <c r="A591" t="s">
        <v>2361</v>
      </c>
      <c r="B591">
        <v>590</v>
      </c>
      <c r="C591" t="s">
        <v>2401</v>
      </c>
      <c r="D591">
        <v>61</v>
      </c>
      <c r="E591" s="21">
        <v>9298</v>
      </c>
      <c r="F591" s="21">
        <v>432412</v>
      </c>
      <c r="G591">
        <v>0.15</v>
      </c>
      <c r="H591">
        <v>20</v>
      </c>
      <c r="I591">
        <v>680</v>
      </c>
      <c r="J591">
        <v>12</v>
      </c>
      <c r="K591" s="21">
        <v>4753</v>
      </c>
    </row>
    <row r="592" spans="1:11" x14ac:dyDescent="0.3">
      <c r="A592" t="s">
        <v>2361</v>
      </c>
      <c r="B592">
        <v>591</v>
      </c>
      <c r="C592" t="s">
        <v>2402</v>
      </c>
      <c r="D592">
        <v>45</v>
      </c>
      <c r="E592" s="21">
        <v>14349</v>
      </c>
      <c r="F592" s="21">
        <v>271283</v>
      </c>
      <c r="G592">
        <v>6.3E-2</v>
      </c>
      <c r="H592">
        <v>10</v>
      </c>
      <c r="I592">
        <v>794</v>
      </c>
      <c r="J592">
        <v>5</v>
      </c>
      <c r="K592" s="21">
        <v>25282</v>
      </c>
    </row>
    <row r="593" spans="1:11" x14ac:dyDescent="0.3">
      <c r="A593" t="s">
        <v>2361</v>
      </c>
      <c r="B593">
        <v>592</v>
      </c>
      <c r="C593" t="s">
        <v>2403</v>
      </c>
      <c r="D593">
        <v>50</v>
      </c>
      <c r="E593" s="21">
        <v>11222</v>
      </c>
      <c r="F593" s="21">
        <v>468548</v>
      </c>
      <c r="G593">
        <v>6.9000000000000006E-2</v>
      </c>
      <c r="H593">
        <v>15</v>
      </c>
      <c r="I593">
        <v>845</v>
      </c>
      <c r="J593">
        <v>11</v>
      </c>
      <c r="K593" s="21">
        <v>337</v>
      </c>
    </row>
    <row r="594" spans="1:11" x14ac:dyDescent="0.3">
      <c r="A594" t="s">
        <v>2361</v>
      </c>
      <c r="B594">
        <v>593</v>
      </c>
      <c r="C594" t="s">
        <v>2404</v>
      </c>
      <c r="D594">
        <v>48</v>
      </c>
      <c r="E594" s="21">
        <v>10077</v>
      </c>
      <c r="F594" s="21">
        <v>248034</v>
      </c>
      <c r="G594">
        <v>0.125</v>
      </c>
      <c r="H594">
        <v>30</v>
      </c>
      <c r="I594">
        <v>586</v>
      </c>
      <c r="J594">
        <v>2</v>
      </c>
      <c r="K594" s="21">
        <v>39509</v>
      </c>
    </row>
    <row r="595" spans="1:11" x14ac:dyDescent="0.3">
      <c r="A595" t="s">
        <v>2361</v>
      </c>
      <c r="B595">
        <v>594</v>
      </c>
      <c r="C595" t="s">
        <v>2405</v>
      </c>
      <c r="D595">
        <v>61</v>
      </c>
      <c r="E595" s="21">
        <v>6097</v>
      </c>
      <c r="F595" s="21">
        <v>356824</v>
      </c>
      <c r="G595">
        <v>8.1000000000000003E-2</v>
      </c>
      <c r="H595">
        <v>20</v>
      </c>
      <c r="I595">
        <v>843</v>
      </c>
      <c r="J595">
        <v>16</v>
      </c>
      <c r="K595" s="21">
        <v>11666</v>
      </c>
    </row>
    <row r="596" spans="1:11" x14ac:dyDescent="0.3">
      <c r="A596" t="s">
        <v>2361</v>
      </c>
      <c r="B596">
        <v>595</v>
      </c>
      <c r="C596" t="s">
        <v>2406</v>
      </c>
      <c r="D596">
        <v>27</v>
      </c>
      <c r="E596" s="21">
        <v>8904</v>
      </c>
      <c r="F596" s="21">
        <v>296239</v>
      </c>
      <c r="G596">
        <v>0.13100000000000001</v>
      </c>
      <c r="H596">
        <v>20</v>
      </c>
      <c r="I596">
        <v>704</v>
      </c>
      <c r="J596">
        <v>13</v>
      </c>
      <c r="K596" s="21">
        <v>16966</v>
      </c>
    </row>
    <row r="597" spans="1:11" x14ac:dyDescent="0.3">
      <c r="A597" t="s">
        <v>2361</v>
      </c>
      <c r="B597">
        <v>596</v>
      </c>
      <c r="C597" t="s">
        <v>2407</v>
      </c>
      <c r="D597">
        <v>22</v>
      </c>
      <c r="E597" s="21">
        <v>5551</v>
      </c>
      <c r="F597" s="21">
        <v>275604</v>
      </c>
      <c r="G597">
        <v>0.14199999999999999</v>
      </c>
      <c r="H597">
        <v>15</v>
      </c>
      <c r="I597">
        <v>670</v>
      </c>
      <c r="J597">
        <v>17</v>
      </c>
      <c r="K597" s="21">
        <v>9557</v>
      </c>
    </row>
    <row r="598" spans="1:11" x14ac:dyDescent="0.3">
      <c r="A598" t="s">
        <v>2361</v>
      </c>
      <c r="B598">
        <v>597</v>
      </c>
      <c r="C598" t="s">
        <v>2408</v>
      </c>
      <c r="D598">
        <v>36</v>
      </c>
      <c r="E598" s="21">
        <v>5097</v>
      </c>
      <c r="F598" s="21">
        <v>221726</v>
      </c>
      <c r="G598">
        <v>8.5000000000000006E-2</v>
      </c>
      <c r="H598">
        <v>30</v>
      </c>
      <c r="I598">
        <v>764</v>
      </c>
      <c r="J598">
        <v>20</v>
      </c>
      <c r="K598" s="21">
        <v>40988</v>
      </c>
    </row>
    <row r="599" spans="1:11" x14ac:dyDescent="0.3">
      <c r="A599" t="s">
        <v>2361</v>
      </c>
      <c r="B599">
        <v>598</v>
      </c>
      <c r="C599" t="s">
        <v>2409</v>
      </c>
      <c r="D599">
        <v>40</v>
      </c>
      <c r="E599" s="21">
        <v>7669</v>
      </c>
      <c r="F599" s="21">
        <v>491153</v>
      </c>
      <c r="G599">
        <v>5.0999999999999997E-2</v>
      </c>
      <c r="H599">
        <v>10</v>
      </c>
      <c r="I599">
        <v>713</v>
      </c>
      <c r="J599">
        <v>18</v>
      </c>
      <c r="K599" s="21">
        <v>19305</v>
      </c>
    </row>
    <row r="600" spans="1:11" x14ac:dyDescent="0.3">
      <c r="A600" t="s">
        <v>2361</v>
      </c>
      <c r="B600">
        <v>599</v>
      </c>
      <c r="C600" t="s">
        <v>2410</v>
      </c>
      <c r="D600">
        <v>37</v>
      </c>
      <c r="E600" s="21">
        <v>2950</v>
      </c>
      <c r="F600" s="21">
        <v>146722</v>
      </c>
      <c r="G600">
        <v>7.2999999999999995E-2</v>
      </c>
      <c r="H600">
        <v>15</v>
      </c>
      <c r="I600">
        <v>736</v>
      </c>
      <c r="J600">
        <v>9</v>
      </c>
      <c r="K600" s="21">
        <v>16283</v>
      </c>
    </row>
    <row r="601" spans="1:11" x14ac:dyDescent="0.3">
      <c r="A601" t="s">
        <v>2361</v>
      </c>
      <c r="B601">
        <v>600</v>
      </c>
      <c r="C601" t="s">
        <v>2411</v>
      </c>
      <c r="D601">
        <v>44</v>
      </c>
      <c r="E601" s="21">
        <v>9442</v>
      </c>
      <c r="F601" s="21">
        <v>216909</v>
      </c>
      <c r="G601">
        <v>8.3000000000000004E-2</v>
      </c>
      <c r="H601">
        <v>30</v>
      </c>
      <c r="I601">
        <v>798</v>
      </c>
      <c r="J601">
        <v>8</v>
      </c>
      <c r="K601" s="21">
        <v>48618</v>
      </c>
    </row>
    <row r="602" spans="1:11" x14ac:dyDescent="0.3">
      <c r="A602" t="s">
        <v>2418</v>
      </c>
      <c r="B602">
        <v>601</v>
      </c>
      <c r="C602" t="s">
        <v>2420</v>
      </c>
      <c r="D602">
        <v>43</v>
      </c>
      <c r="E602" s="21">
        <v>57754</v>
      </c>
      <c r="F602" s="21">
        <v>543546</v>
      </c>
      <c r="G602">
        <v>8.3000000000000004E-2</v>
      </c>
      <c r="H602">
        <v>30</v>
      </c>
      <c r="I602">
        <v>798</v>
      </c>
      <c r="J602">
        <v>8</v>
      </c>
      <c r="K602" s="21">
        <v>48618</v>
      </c>
    </row>
    <row r="603" spans="1:11" x14ac:dyDescent="0.3">
      <c r="A603" t="s">
        <v>2419</v>
      </c>
      <c r="B603">
        <v>602</v>
      </c>
      <c r="C603" t="s">
        <v>2421</v>
      </c>
      <c r="D603">
        <v>48</v>
      </c>
      <c r="E603" s="21">
        <v>5693</v>
      </c>
      <c r="F603" s="21">
        <v>543546</v>
      </c>
      <c r="G603">
        <v>8.3000000000000004E-2</v>
      </c>
      <c r="H603">
        <v>30</v>
      </c>
      <c r="I603">
        <v>798</v>
      </c>
      <c r="J603">
        <v>8</v>
      </c>
      <c r="K603" s="21">
        <v>48618</v>
      </c>
    </row>
  </sheetData>
  <phoneticPr fontId="1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RefreshCleanData">
                <anchor moveWithCells="1" sizeWithCells="1">
                  <from>
                    <xdr:col>11</xdr:col>
                    <xdr:colOff>342900</xdr:colOff>
                    <xdr:row>1</xdr:row>
                    <xdr:rowOff>60960</xdr:rowOff>
                  </from>
                  <to>
                    <xdr:col>15</xdr:col>
                    <xdr:colOff>129540</xdr:colOff>
                    <xdr:row>4</xdr:row>
                    <xdr:rowOff>129540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01D9E-C54A-4BF5-8769-52CA35996E92}">
  <sheetPr codeName="Sheet6"/>
  <dimension ref="A1:Q604"/>
  <sheetViews>
    <sheetView tabSelected="1" zoomScale="69" zoomScaleNormal="87" workbookViewId="0">
      <selection activeCell="O4" sqref="O4"/>
    </sheetView>
  </sheetViews>
  <sheetFormatPr defaultRowHeight="14.4" x14ac:dyDescent="0.3"/>
  <cols>
    <col min="1" max="1" width="6.21875" bestFit="1" customWidth="1"/>
    <col min="2" max="2" width="15.44140625" bestFit="1" customWidth="1"/>
    <col min="3" max="3" width="7.5546875" bestFit="1" customWidth="1"/>
    <col min="4" max="4" width="19.109375" bestFit="1" customWidth="1"/>
    <col min="5" max="5" width="16" bestFit="1" customWidth="1"/>
    <col min="6" max="6" width="15.109375" bestFit="1" customWidth="1"/>
    <col min="7" max="7" width="14.33203125" bestFit="1" customWidth="1"/>
    <col min="8" max="8" width="15.44140625" bestFit="1" customWidth="1"/>
    <col min="9" max="9" width="21.21875" bestFit="1" customWidth="1"/>
    <col min="10" max="10" width="15.88671875" bestFit="1" customWidth="1"/>
    <col min="11" max="11" width="11.88671875" bestFit="1" customWidth="1"/>
    <col min="12" max="12" width="14.5546875" style="7" customWidth="1"/>
    <col min="13" max="13" width="25.5546875" customWidth="1"/>
    <col min="14" max="14" width="17.109375" customWidth="1"/>
    <col min="15" max="15" width="22.33203125" customWidth="1"/>
    <col min="17" max="17" width="24.6640625" customWidth="1"/>
  </cols>
  <sheetData>
    <row r="1" spans="1:17" x14ac:dyDescent="0.3">
      <c r="A1" t="s">
        <v>0</v>
      </c>
      <c r="B1" t="s">
        <v>1</v>
      </c>
      <c r="C1" t="s">
        <v>2</v>
      </c>
      <c r="D1" t="s">
        <v>3</v>
      </c>
      <c r="E1" t="s">
        <v>4</v>
      </c>
      <c r="F1" t="s">
        <v>5</v>
      </c>
      <c r="G1" t="s">
        <v>6</v>
      </c>
      <c r="H1" t="s">
        <v>7</v>
      </c>
      <c r="I1" t="s">
        <v>8</v>
      </c>
      <c r="J1" t="s">
        <v>9</v>
      </c>
      <c r="K1" t="s">
        <v>1771</v>
      </c>
      <c r="L1" s="7" t="s">
        <v>1777</v>
      </c>
      <c r="M1" t="s">
        <v>1783</v>
      </c>
      <c r="Q1" s="4"/>
    </row>
    <row r="2" spans="1:17" x14ac:dyDescent="0.3">
      <c r="A2">
        <v>1</v>
      </c>
      <c r="B2" t="s">
        <v>1271</v>
      </c>
      <c r="C2">
        <v>49</v>
      </c>
      <c r="D2">
        <v>85404</v>
      </c>
      <c r="E2" s="1">
        <v>2412106</v>
      </c>
      <c r="F2">
        <v>8.6999999999999994E-2</v>
      </c>
      <c r="G2">
        <v>30</v>
      </c>
      <c r="H2">
        <v>694</v>
      </c>
      <c r="I2">
        <v>9</v>
      </c>
      <c r="J2" s="1">
        <v>877</v>
      </c>
      <c r="K2" s="24" t="s">
        <v>1774</v>
      </c>
      <c r="L2" s="7">
        <f>EV[[#This Row],[Current_Debt]]/EV[[#This Row],[Monthly_Income]]</f>
        <v>1.0268839866985152E-2</v>
      </c>
      <c r="M2" t="s">
        <v>2290</v>
      </c>
      <c r="Q2" s="4"/>
    </row>
    <row r="3" spans="1:17" x14ac:dyDescent="0.3">
      <c r="A3">
        <v>2</v>
      </c>
      <c r="B3" t="s">
        <v>1272</v>
      </c>
      <c r="C3">
        <v>48</v>
      </c>
      <c r="D3">
        <v>84304</v>
      </c>
      <c r="E3" s="1">
        <v>2360101</v>
      </c>
      <c r="F3">
        <v>0.11</v>
      </c>
      <c r="G3">
        <v>25</v>
      </c>
      <c r="H3">
        <v>691</v>
      </c>
      <c r="I3">
        <v>0</v>
      </c>
      <c r="J3" s="1">
        <v>1134</v>
      </c>
      <c r="K3" s="24" t="s">
        <v>1774</v>
      </c>
      <c r="L3" s="7">
        <f>EV[[#This Row],[Current_Debt]]/EV[[#This Row],[Monthly_Income]]</f>
        <v>1.3451319035870183E-2</v>
      </c>
      <c r="M3" t="s">
        <v>2290</v>
      </c>
      <c r="Q3" s="4"/>
    </row>
    <row r="4" spans="1:17" x14ac:dyDescent="0.3">
      <c r="A4">
        <v>3</v>
      </c>
      <c r="B4" t="s">
        <v>1273</v>
      </c>
      <c r="C4">
        <v>62</v>
      </c>
      <c r="D4">
        <v>29394</v>
      </c>
      <c r="E4" s="1">
        <v>1709269</v>
      </c>
      <c r="F4">
        <v>0.11</v>
      </c>
      <c r="G4">
        <v>15</v>
      </c>
      <c r="H4">
        <v>639</v>
      </c>
      <c r="I4">
        <v>9</v>
      </c>
      <c r="J4" s="1">
        <v>45094</v>
      </c>
      <c r="K4" s="24" t="s">
        <v>1773</v>
      </c>
      <c r="L4" s="1">
        <f>EV[[#This Row],[Current_Debt]]/EV[[#This Row],[Monthly_Income]]</f>
        <v>1.5341226100564742</v>
      </c>
      <c r="M4" t="s">
        <v>2291</v>
      </c>
      <c r="Q4" s="4"/>
    </row>
    <row r="5" spans="1:17" x14ac:dyDescent="0.3">
      <c r="A5">
        <v>4</v>
      </c>
      <c r="B5" t="s">
        <v>1274</v>
      </c>
      <c r="C5">
        <v>20</v>
      </c>
      <c r="D5">
        <v>15953</v>
      </c>
      <c r="E5" s="1">
        <v>2114844</v>
      </c>
      <c r="F5">
        <v>9.1999999999999998E-2</v>
      </c>
      <c r="G5">
        <v>15</v>
      </c>
      <c r="H5">
        <v>615</v>
      </c>
      <c r="I5">
        <v>0</v>
      </c>
      <c r="J5" s="1">
        <v>39579</v>
      </c>
      <c r="K5" s="25" t="s">
        <v>1773</v>
      </c>
      <c r="L5" s="7">
        <f>EV[[#This Row],[Current_Debt]]/EV[[#This Row],[Monthly_Income]]</f>
        <v>2.4809753651350843</v>
      </c>
      <c r="M5" t="s">
        <v>1784</v>
      </c>
      <c r="Q5" s="4"/>
    </row>
    <row r="6" spans="1:17" x14ac:dyDescent="0.3">
      <c r="A6">
        <v>5</v>
      </c>
      <c r="B6" t="s">
        <v>1275</v>
      </c>
      <c r="C6">
        <v>22</v>
      </c>
      <c r="D6">
        <v>69883</v>
      </c>
      <c r="E6" s="1">
        <v>1544591</v>
      </c>
      <c r="F6">
        <v>9.5000000000000001E-2</v>
      </c>
      <c r="G6">
        <v>30</v>
      </c>
      <c r="H6">
        <v>757</v>
      </c>
      <c r="I6">
        <v>0</v>
      </c>
      <c r="J6" s="1">
        <v>8542</v>
      </c>
      <c r="K6" s="25" t="s">
        <v>1773</v>
      </c>
      <c r="L6" s="7">
        <f>EV[[#This Row],[Current_Debt]]/EV[[#This Row],[Monthly_Income]]</f>
        <v>0.12223287494812758</v>
      </c>
      <c r="M6" t="s">
        <v>1784</v>
      </c>
      <c r="Q6" s="4"/>
    </row>
    <row r="7" spans="1:17" x14ac:dyDescent="0.3">
      <c r="A7">
        <v>6</v>
      </c>
      <c r="B7" t="s">
        <v>1276</v>
      </c>
      <c r="C7">
        <v>22</v>
      </c>
      <c r="D7">
        <v>41167</v>
      </c>
      <c r="E7" s="1">
        <v>814416</v>
      </c>
      <c r="F7">
        <v>9.9000000000000005E-2</v>
      </c>
      <c r="G7">
        <v>10</v>
      </c>
      <c r="H7">
        <v>798</v>
      </c>
      <c r="I7">
        <v>0</v>
      </c>
      <c r="J7" s="1">
        <v>16593</v>
      </c>
      <c r="K7" s="25" t="s">
        <v>1773</v>
      </c>
      <c r="L7" s="7">
        <f>EV[[#This Row],[Current_Debt]]/EV[[#This Row],[Monthly_Income]]</f>
        <v>0.40306556222216822</v>
      </c>
      <c r="M7" t="s">
        <v>1784</v>
      </c>
      <c r="Q7" s="4"/>
    </row>
    <row r="8" spans="1:17" x14ac:dyDescent="0.3">
      <c r="A8">
        <v>7</v>
      </c>
      <c r="B8" t="s">
        <v>1277</v>
      </c>
      <c r="C8">
        <v>38</v>
      </c>
      <c r="D8">
        <v>34129</v>
      </c>
      <c r="E8" s="1">
        <v>1914757</v>
      </c>
      <c r="F8">
        <v>0.109</v>
      </c>
      <c r="G8">
        <v>20</v>
      </c>
      <c r="H8">
        <v>791</v>
      </c>
      <c r="I8">
        <v>8</v>
      </c>
      <c r="J8" s="1">
        <v>28135</v>
      </c>
      <c r="K8" s="24" t="s">
        <v>1772</v>
      </c>
      <c r="L8" s="7">
        <f>EV[[#This Row],[Current_Debt]]/EV[[#This Row],[Monthly_Income]]</f>
        <v>0.82437223475636556</v>
      </c>
      <c r="M8" t="s">
        <v>1786</v>
      </c>
      <c r="Q8" s="4"/>
    </row>
    <row r="9" spans="1:17" x14ac:dyDescent="0.3">
      <c r="A9">
        <v>8</v>
      </c>
      <c r="B9" t="s">
        <v>1278</v>
      </c>
      <c r="C9">
        <v>62</v>
      </c>
      <c r="D9">
        <v>118495</v>
      </c>
      <c r="E9" s="1">
        <v>2324321</v>
      </c>
      <c r="F9">
        <v>0.107</v>
      </c>
      <c r="G9">
        <v>15</v>
      </c>
      <c r="H9">
        <v>848</v>
      </c>
      <c r="I9">
        <v>15</v>
      </c>
      <c r="J9" s="1">
        <v>48061</v>
      </c>
      <c r="K9" s="24" t="s">
        <v>1772</v>
      </c>
      <c r="L9" s="7">
        <f>EV[[#This Row],[Current_Debt]]/EV[[#This Row],[Monthly_Income]]</f>
        <v>0.40559517279210094</v>
      </c>
      <c r="M9" t="s">
        <v>1786</v>
      </c>
      <c r="Q9" s="4"/>
    </row>
    <row r="10" spans="1:17" x14ac:dyDescent="0.3">
      <c r="A10">
        <v>9</v>
      </c>
      <c r="B10" t="s">
        <v>1279</v>
      </c>
      <c r="C10">
        <v>65</v>
      </c>
      <c r="D10">
        <v>73088</v>
      </c>
      <c r="E10" s="1">
        <v>1526262</v>
      </c>
      <c r="F10">
        <v>9.7000000000000003E-2</v>
      </c>
      <c r="G10">
        <v>10</v>
      </c>
      <c r="H10">
        <v>649</v>
      </c>
      <c r="I10">
        <v>8</v>
      </c>
      <c r="J10" s="1">
        <v>37724</v>
      </c>
      <c r="K10" s="24" t="s">
        <v>1773</v>
      </c>
      <c r="L10" s="7">
        <f>EV[[#This Row],[Current_Debt]]/EV[[#This Row],[Monthly_Income]]</f>
        <v>0.51614492119089317</v>
      </c>
      <c r="M10" t="s">
        <v>2291</v>
      </c>
      <c r="Q10" s="4"/>
    </row>
    <row r="11" spans="1:17" x14ac:dyDescent="0.3">
      <c r="A11">
        <v>10</v>
      </c>
      <c r="B11" t="s">
        <v>1280</v>
      </c>
      <c r="C11">
        <v>29</v>
      </c>
      <c r="D11">
        <v>36542</v>
      </c>
      <c r="E11" s="1">
        <v>2432958</v>
      </c>
      <c r="F11">
        <v>0.11</v>
      </c>
      <c r="G11">
        <v>15</v>
      </c>
      <c r="H11">
        <v>629</v>
      </c>
      <c r="I11">
        <v>15</v>
      </c>
      <c r="J11" s="1">
        <v>46599</v>
      </c>
      <c r="K11" s="24" t="s">
        <v>1773</v>
      </c>
      <c r="L11" s="7">
        <f>EV[[#This Row],[Current_Debt]]/EV[[#This Row],[Monthly_Income]]</f>
        <v>1.2752175578786054</v>
      </c>
      <c r="M11" t="s">
        <v>2291</v>
      </c>
      <c r="Q11" s="4"/>
    </row>
    <row r="12" spans="1:17" x14ac:dyDescent="0.3">
      <c r="A12">
        <v>11</v>
      </c>
      <c r="B12" t="s">
        <v>1281</v>
      </c>
      <c r="C12">
        <v>43</v>
      </c>
      <c r="D12">
        <v>116098</v>
      </c>
      <c r="E12" s="1">
        <v>1076295</v>
      </c>
      <c r="F12">
        <v>9.1999999999999998E-2</v>
      </c>
      <c r="G12">
        <v>10</v>
      </c>
      <c r="H12">
        <v>838</v>
      </c>
      <c r="I12">
        <v>8</v>
      </c>
      <c r="J12" s="1">
        <v>10251</v>
      </c>
      <c r="K12" s="24" t="s">
        <v>1774</v>
      </c>
      <c r="L12" s="7">
        <f>EV[[#This Row],[Current_Debt]]/EV[[#This Row],[Monthly_Income]]</f>
        <v>8.8296094678633572E-2</v>
      </c>
      <c r="M12" t="s">
        <v>1785</v>
      </c>
      <c r="Q12" s="4"/>
    </row>
    <row r="13" spans="1:17" x14ac:dyDescent="0.3">
      <c r="A13">
        <v>12</v>
      </c>
      <c r="B13" t="s">
        <v>1282</v>
      </c>
      <c r="C13">
        <v>31</v>
      </c>
      <c r="D13">
        <v>104627</v>
      </c>
      <c r="E13" s="1">
        <v>2284946</v>
      </c>
      <c r="F13">
        <v>8.5000000000000006E-2</v>
      </c>
      <c r="G13">
        <v>10</v>
      </c>
      <c r="H13">
        <v>662</v>
      </c>
      <c r="I13">
        <v>6</v>
      </c>
      <c r="J13" s="1">
        <v>36256</v>
      </c>
      <c r="K13" s="24" t="s">
        <v>1772</v>
      </c>
      <c r="L13" s="7">
        <f>EV[[#This Row],[Current_Debt]]/EV[[#This Row],[Monthly_Income]]</f>
        <v>0.346526231278733</v>
      </c>
      <c r="M13" t="s">
        <v>2292</v>
      </c>
      <c r="Q13" s="4"/>
    </row>
    <row r="14" spans="1:17" x14ac:dyDescent="0.3">
      <c r="A14">
        <v>13</v>
      </c>
      <c r="B14" t="s">
        <v>1283</v>
      </c>
      <c r="C14">
        <v>61</v>
      </c>
      <c r="D14">
        <v>79509</v>
      </c>
      <c r="E14" s="1">
        <v>719317</v>
      </c>
      <c r="F14">
        <v>0.105</v>
      </c>
      <c r="G14">
        <v>20</v>
      </c>
      <c r="H14">
        <v>784</v>
      </c>
      <c r="I14">
        <v>5</v>
      </c>
      <c r="J14" s="1">
        <v>13801</v>
      </c>
      <c r="K14" s="24" t="s">
        <v>1774</v>
      </c>
      <c r="L14" s="7">
        <f>EV[[#This Row],[Current_Debt]]/EV[[#This Row],[Monthly_Income]]</f>
        <v>0.17357783395590437</v>
      </c>
      <c r="M14" t="s">
        <v>1785</v>
      </c>
      <c r="Q14" s="4"/>
    </row>
    <row r="15" spans="1:17" x14ac:dyDescent="0.3">
      <c r="A15">
        <v>14</v>
      </c>
      <c r="B15" t="s">
        <v>1284</v>
      </c>
      <c r="C15">
        <v>34</v>
      </c>
      <c r="D15">
        <v>108661</v>
      </c>
      <c r="E15" s="1">
        <v>1096062</v>
      </c>
      <c r="F15">
        <v>9.8000000000000004E-2</v>
      </c>
      <c r="G15">
        <v>30</v>
      </c>
      <c r="H15">
        <v>621</v>
      </c>
      <c r="I15">
        <v>3</v>
      </c>
      <c r="J15" s="1">
        <v>45910</v>
      </c>
      <c r="K15" s="24" t="s">
        <v>1773</v>
      </c>
      <c r="L15" s="7">
        <f>EV[[#This Row],[Current_Debt]]/EV[[#This Row],[Monthly_Income]]</f>
        <v>0.42250669513440886</v>
      </c>
      <c r="M15" t="s">
        <v>2291</v>
      </c>
      <c r="Q15" s="4"/>
    </row>
    <row r="16" spans="1:17" x14ac:dyDescent="0.3">
      <c r="A16">
        <v>15</v>
      </c>
      <c r="B16" t="s">
        <v>1285</v>
      </c>
      <c r="C16">
        <v>57</v>
      </c>
      <c r="D16">
        <v>34823</v>
      </c>
      <c r="E16" s="1">
        <v>2315728</v>
      </c>
      <c r="F16">
        <v>0.114</v>
      </c>
      <c r="G16">
        <v>10</v>
      </c>
      <c r="H16">
        <v>712</v>
      </c>
      <c r="I16">
        <v>12</v>
      </c>
      <c r="J16" s="1">
        <v>18588</v>
      </c>
      <c r="K16" s="24" t="s">
        <v>1772</v>
      </c>
      <c r="L16" s="7">
        <f>EV[[#This Row],[Current_Debt]]/EV[[#This Row],[Monthly_Income]]</f>
        <v>0.53378514200384808</v>
      </c>
      <c r="M16" t="s">
        <v>1786</v>
      </c>
      <c r="Q16" s="4"/>
    </row>
    <row r="17" spans="1:17" x14ac:dyDescent="0.3">
      <c r="A17">
        <v>16</v>
      </c>
      <c r="B17" t="s">
        <v>1286</v>
      </c>
      <c r="C17">
        <v>38</v>
      </c>
      <c r="D17">
        <v>17478</v>
      </c>
      <c r="E17" s="1">
        <v>1283175</v>
      </c>
      <c r="F17">
        <v>0.111</v>
      </c>
      <c r="G17">
        <v>15</v>
      </c>
      <c r="H17">
        <v>670</v>
      </c>
      <c r="I17">
        <v>15</v>
      </c>
      <c r="J17" s="1">
        <v>27343</v>
      </c>
      <c r="K17" s="24" t="s">
        <v>1772</v>
      </c>
      <c r="L17" s="7">
        <f>EV[[#This Row],[Current_Debt]]/EV[[#This Row],[Monthly_Income]]</f>
        <v>1.5644238471220964</v>
      </c>
      <c r="M17" t="s">
        <v>2292</v>
      </c>
      <c r="Q17" s="4"/>
    </row>
    <row r="18" spans="1:17" x14ac:dyDescent="0.3">
      <c r="A18">
        <v>17</v>
      </c>
      <c r="B18" t="s">
        <v>1287</v>
      </c>
      <c r="C18">
        <v>24</v>
      </c>
      <c r="D18">
        <v>64569</v>
      </c>
      <c r="E18" s="1">
        <v>2371937</v>
      </c>
      <c r="F18">
        <v>8.2000000000000003E-2</v>
      </c>
      <c r="G18">
        <v>10</v>
      </c>
      <c r="H18">
        <v>609</v>
      </c>
      <c r="I18">
        <v>2</v>
      </c>
      <c r="J18" s="1">
        <v>35929</v>
      </c>
      <c r="K18" s="25" t="s">
        <v>1773</v>
      </c>
      <c r="L18" s="7">
        <f>EV[[#This Row],[Current_Debt]]/EV[[#This Row],[Monthly_Income]]</f>
        <v>0.55644349455621123</v>
      </c>
      <c r="M18" t="s">
        <v>1784</v>
      </c>
      <c r="Q18" s="4"/>
    </row>
    <row r="19" spans="1:17" x14ac:dyDescent="0.3">
      <c r="A19">
        <v>18</v>
      </c>
      <c r="B19" t="s">
        <v>1288</v>
      </c>
      <c r="C19">
        <v>27</v>
      </c>
      <c r="D19">
        <v>22130</v>
      </c>
      <c r="E19" s="1">
        <v>1533247</v>
      </c>
      <c r="F19">
        <v>9.9000000000000005E-2</v>
      </c>
      <c r="G19">
        <v>30</v>
      </c>
      <c r="H19">
        <v>645</v>
      </c>
      <c r="I19">
        <v>12</v>
      </c>
      <c r="J19" s="1">
        <v>10067</v>
      </c>
      <c r="K19" s="24" t="s">
        <v>1773</v>
      </c>
      <c r="L19" s="7">
        <f>EV[[#This Row],[Current_Debt]]/EV[[#This Row],[Monthly_Income]]</f>
        <v>0.45490284681427928</v>
      </c>
      <c r="M19" t="s">
        <v>2291</v>
      </c>
      <c r="Q19" s="4"/>
    </row>
    <row r="20" spans="1:17" x14ac:dyDescent="0.3">
      <c r="A20">
        <v>19</v>
      </c>
      <c r="B20" t="s">
        <v>1289</v>
      </c>
      <c r="C20">
        <v>24</v>
      </c>
      <c r="D20">
        <v>114734</v>
      </c>
      <c r="E20" s="1">
        <v>2420710</v>
      </c>
      <c r="F20">
        <v>0.114</v>
      </c>
      <c r="G20">
        <v>10</v>
      </c>
      <c r="H20">
        <v>796</v>
      </c>
      <c r="I20">
        <v>15</v>
      </c>
      <c r="J20" s="1">
        <v>48149</v>
      </c>
      <c r="K20" s="25" t="s">
        <v>1773</v>
      </c>
      <c r="L20" s="7">
        <f>EV[[#This Row],[Current_Debt]]/EV[[#This Row],[Monthly_Income]]</f>
        <v>0.41965764289574148</v>
      </c>
      <c r="M20" t="s">
        <v>1784</v>
      </c>
      <c r="Q20" s="4"/>
    </row>
    <row r="21" spans="1:17" x14ac:dyDescent="0.3">
      <c r="A21">
        <v>20</v>
      </c>
      <c r="B21" t="s">
        <v>1290</v>
      </c>
      <c r="C21">
        <v>49</v>
      </c>
      <c r="D21">
        <v>99004</v>
      </c>
      <c r="E21" s="1">
        <v>1499619</v>
      </c>
      <c r="F21">
        <v>0.111</v>
      </c>
      <c r="G21">
        <v>15</v>
      </c>
      <c r="H21">
        <v>754</v>
      </c>
      <c r="I21">
        <v>5</v>
      </c>
      <c r="J21" s="1">
        <v>47256</v>
      </c>
      <c r="K21" s="24" t="s">
        <v>1772</v>
      </c>
      <c r="L21" s="7">
        <f>EV[[#This Row],[Current_Debt]]/EV[[#This Row],[Monthly_Income]]</f>
        <v>0.47731404791725585</v>
      </c>
      <c r="M21" t="s">
        <v>1786</v>
      </c>
      <c r="Q21" s="4"/>
    </row>
    <row r="22" spans="1:17" x14ac:dyDescent="0.3">
      <c r="A22">
        <v>21</v>
      </c>
      <c r="B22" t="s">
        <v>1291</v>
      </c>
      <c r="C22">
        <v>39</v>
      </c>
      <c r="D22">
        <v>21629</v>
      </c>
      <c r="E22" s="1">
        <v>2124334</v>
      </c>
      <c r="F22">
        <v>8.5000000000000006E-2</v>
      </c>
      <c r="G22">
        <v>25</v>
      </c>
      <c r="H22">
        <v>617</v>
      </c>
      <c r="I22">
        <v>0</v>
      </c>
      <c r="J22" s="1">
        <v>7527</v>
      </c>
      <c r="K22" s="24" t="s">
        <v>1773</v>
      </c>
      <c r="L22" s="7">
        <f>EV[[#This Row],[Current_Debt]]/EV[[#This Row],[Monthly_Income]]</f>
        <v>0.34800499329603773</v>
      </c>
      <c r="M22" t="s">
        <v>2291</v>
      </c>
      <c r="Q22" s="4"/>
    </row>
    <row r="23" spans="1:17" x14ac:dyDescent="0.3">
      <c r="A23">
        <v>22</v>
      </c>
      <c r="B23" t="s">
        <v>1292</v>
      </c>
      <c r="C23">
        <v>36</v>
      </c>
      <c r="D23">
        <v>102497</v>
      </c>
      <c r="E23" s="1">
        <v>1527330</v>
      </c>
      <c r="F23">
        <v>9.8000000000000004E-2</v>
      </c>
      <c r="G23">
        <v>25</v>
      </c>
      <c r="H23">
        <v>766</v>
      </c>
      <c r="I23">
        <v>7</v>
      </c>
      <c r="J23" s="1">
        <v>1644</v>
      </c>
      <c r="K23" s="26" t="s">
        <v>1774</v>
      </c>
      <c r="L23" s="7">
        <f>EV[[#This Row],[Current_Debt]]/EV[[#This Row],[Monthly_Income]]</f>
        <v>1.6039493838844062E-2</v>
      </c>
      <c r="M23" t="s">
        <v>1785</v>
      </c>
      <c r="Q23" s="4"/>
    </row>
    <row r="24" spans="1:17" x14ac:dyDescent="0.3">
      <c r="A24">
        <v>23</v>
      </c>
      <c r="B24" t="s">
        <v>1293</v>
      </c>
      <c r="C24">
        <v>57</v>
      </c>
      <c r="D24">
        <v>72608</v>
      </c>
      <c r="E24" s="1">
        <v>1271045</v>
      </c>
      <c r="F24">
        <v>9.2999999999999999E-2</v>
      </c>
      <c r="G24">
        <v>25</v>
      </c>
      <c r="H24">
        <v>631</v>
      </c>
      <c r="I24">
        <v>3</v>
      </c>
      <c r="J24" s="1">
        <v>103</v>
      </c>
      <c r="K24" s="24" t="s">
        <v>1773</v>
      </c>
      <c r="L24" s="7">
        <f>EV[[#This Row],[Current_Debt]]/EV[[#This Row],[Monthly_Income]]</f>
        <v>1.4185764654032615E-3</v>
      </c>
      <c r="M24" t="s">
        <v>2291</v>
      </c>
      <c r="Q24" s="4"/>
    </row>
    <row r="25" spans="1:17" x14ac:dyDescent="0.3">
      <c r="A25">
        <v>24</v>
      </c>
      <c r="B25" t="s">
        <v>1294</v>
      </c>
      <c r="C25">
        <v>53</v>
      </c>
      <c r="D25">
        <v>41809</v>
      </c>
      <c r="E25" s="1">
        <v>1086545</v>
      </c>
      <c r="F25">
        <v>0.12</v>
      </c>
      <c r="G25">
        <v>20</v>
      </c>
      <c r="H25">
        <v>641</v>
      </c>
      <c r="I25">
        <v>3</v>
      </c>
      <c r="J25" s="1">
        <v>12126</v>
      </c>
      <c r="K25" s="24" t="s">
        <v>1773</v>
      </c>
      <c r="L25" s="7">
        <f>EV[[#This Row],[Current_Debt]]/EV[[#This Row],[Monthly_Income]]</f>
        <v>0.29003324643019446</v>
      </c>
      <c r="M25" t="s">
        <v>2291</v>
      </c>
      <c r="Q25" s="4"/>
    </row>
    <row r="26" spans="1:17" x14ac:dyDescent="0.3">
      <c r="A26">
        <v>25</v>
      </c>
      <c r="B26" t="s">
        <v>1295</v>
      </c>
      <c r="C26">
        <v>39</v>
      </c>
      <c r="D26">
        <v>102275</v>
      </c>
      <c r="E26" s="1">
        <v>2196520</v>
      </c>
      <c r="F26">
        <v>9.0999999999999998E-2</v>
      </c>
      <c r="G26">
        <v>20</v>
      </c>
      <c r="H26">
        <v>659</v>
      </c>
      <c r="I26">
        <v>14</v>
      </c>
      <c r="J26" s="1">
        <v>36752</v>
      </c>
      <c r="K26" s="24" t="s">
        <v>1772</v>
      </c>
      <c r="L26" s="7">
        <f>EV[[#This Row],[Current_Debt]]/EV[[#This Row],[Monthly_Income]]</f>
        <v>0.35934490344659009</v>
      </c>
      <c r="M26" t="s">
        <v>2292</v>
      </c>
      <c r="Q26" s="4"/>
    </row>
    <row r="27" spans="1:17" x14ac:dyDescent="0.3">
      <c r="A27">
        <v>26</v>
      </c>
      <c r="B27" t="s">
        <v>1296</v>
      </c>
      <c r="C27">
        <v>26</v>
      </c>
      <c r="D27">
        <v>70534</v>
      </c>
      <c r="E27" s="1">
        <v>841760</v>
      </c>
      <c r="F27">
        <v>8.3000000000000004E-2</v>
      </c>
      <c r="G27">
        <v>15</v>
      </c>
      <c r="H27">
        <v>806</v>
      </c>
      <c r="I27">
        <v>6</v>
      </c>
      <c r="J27" s="1">
        <v>16185</v>
      </c>
      <c r="K27" s="24" t="s">
        <v>1772</v>
      </c>
      <c r="L27" s="7">
        <f>EV[[#This Row],[Current_Debt]]/EV[[#This Row],[Monthly_Income]]</f>
        <v>0.22946380468993677</v>
      </c>
      <c r="M27" t="s">
        <v>1786</v>
      </c>
      <c r="Q27" s="4"/>
    </row>
    <row r="28" spans="1:17" x14ac:dyDescent="0.3">
      <c r="A28">
        <v>27</v>
      </c>
      <c r="B28" t="s">
        <v>1297</v>
      </c>
      <c r="C28">
        <v>35</v>
      </c>
      <c r="D28">
        <v>44086</v>
      </c>
      <c r="E28" s="1">
        <v>1742366</v>
      </c>
      <c r="F28">
        <v>0.10299999999999999</v>
      </c>
      <c r="G28">
        <v>25</v>
      </c>
      <c r="H28">
        <v>606</v>
      </c>
      <c r="I28">
        <v>2</v>
      </c>
      <c r="J28" s="1">
        <v>19332</v>
      </c>
      <c r="K28" s="24" t="s">
        <v>1773</v>
      </c>
      <c r="L28" s="7">
        <f>EV[[#This Row],[Current_Debt]]/EV[[#This Row],[Monthly_Income]]</f>
        <v>0.43850655536905142</v>
      </c>
      <c r="M28" t="s">
        <v>2291</v>
      </c>
      <c r="Q28" s="4"/>
    </row>
    <row r="29" spans="1:17" x14ac:dyDescent="0.3">
      <c r="A29">
        <v>28</v>
      </c>
      <c r="B29" t="s">
        <v>1298</v>
      </c>
      <c r="C29">
        <v>26</v>
      </c>
      <c r="D29">
        <v>71076</v>
      </c>
      <c r="E29" s="1">
        <v>1492349</v>
      </c>
      <c r="F29">
        <v>8.3000000000000004E-2</v>
      </c>
      <c r="G29">
        <v>20</v>
      </c>
      <c r="H29">
        <v>642</v>
      </c>
      <c r="I29">
        <v>5</v>
      </c>
      <c r="J29" s="1">
        <v>7367</v>
      </c>
      <c r="K29" s="24" t="s">
        <v>1773</v>
      </c>
      <c r="L29" s="7">
        <f>EV[[#This Row],[Current_Debt]]/EV[[#This Row],[Monthly_Income]]</f>
        <v>0.10364961449715797</v>
      </c>
      <c r="M29" t="s">
        <v>2291</v>
      </c>
      <c r="Q29" s="4"/>
    </row>
    <row r="30" spans="1:17" x14ac:dyDescent="0.3">
      <c r="A30">
        <v>29</v>
      </c>
      <c r="B30" t="s">
        <v>1299</v>
      </c>
      <c r="C30">
        <v>31</v>
      </c>
      <c r="D30">
        <v>80285</v>
      </c>
      <c r="E30" s="1">
        <v>1144324</v>
      </c>
      <c r="F30">
        <v>9.0999999999999998E-2</v>
      </c>
      <c r="G30">
        <v>20</v>
      </c>
      <c r="H30">
        <v>830</v>
      </c>
      <c r="I30">
        <v>1</v>
      </c>
      <c r="J30" s="1">
        <v>41964</v>
      </c>
      <c r="K30" s="24" t="s">
        <v>1772</v>
      </c>
      <c r="L30" s="7">
        <f>EV[[#This Row],[Current_Debt]]/EV[[#This Row],[Monthly_Income]]</f>
        <v>0.52268792426978883</v>
      </c>
      <c r="M30" t="s">
        <v>1786</v>
      </c>
      <c r="Q30" s="4"/>
    </row>
    <row r="31" spans="1:17" x14ac:dyDescent="0.3">
      <c r="A31">
        <v>30</v>
      </c>
      <c r="B31" t="s">
        <v>1300</v>
      </c>
      <c r="C31">
        <v>57</v>
      </c>
      <c r="D31">
        <v>114181</v>
      </c>
      <c r="E31" s="1">
        <v>1240637</v>
      </c>
      <c r="F31">
        <v>8.2000000000000003E-2</v>
      </c>
      <c r="G31">
        <v>30</v>
      </c>
      <c r="H31">
        <v>601</v>
      </c>
      <c r="I31">
        <v>3</v>
      </c>
      <c r="J31" s="1">
        <v>7781</v>
      </c>
      <c r="K31" s="24" t="s">
        <v>1773</v>
      </c>
      <c r="L31" s="7">
        <f>EV[[#This Row],[Current_Debt]]/EV[[#This Row],[Monthly_Income]]</f>
        <v>6.8146188945621425E-2</v>
      </c>
      <c r="M31" t="s">
        <v>2291</v>
      </c>
      <c r="Q31" s="4"/>
    </row>
    <row r="32" spans="1:17" x14ac:dyDescent="0.3">
      <c r="A32">
        <v>31</v>
      </c>
      <c r="B32" t="s">
        <v>1301</v>
      </c>
      <c r="C32">
        <v>65</v>
      </c>
      <c r="D32">
        <v>28789</v>
      </c>
      <c r="E32" s="1">
        <v>882937</v>
      </c>
      <c r="F32">
        <v>9.7000000000000003E-2</v>
      </c>
      <c r="G32">
        <v>30</v>
      </c>
      <c r="H32">
        <v>640</v>
      </c>
      <c r="I32">
        <v>11</v>
      </c>
      <c r="J32" s="1">
        <v>24501</v>
      </c>
      <c r="K32" s="24" t="s">
        <v>1773</v>
      </c>
      <c r="L32" s="7">
        <f>EV[[#This Row],[Current_Debt]]/EV[[#This Row],[Monthly_Income]]</f>
        <v>0.85105422209871828</v>
      </c>
      <c r="M32" t="s">
        <v>2291</v>
      </c>
      <c r="Q32" s="4"/>
    </row>
    <row r="33" spans="1:13" x14ac:dyDescent="0.3">
      <c r="A33">
        <v>32</v>
      </c>
      <c r="B33" t="s">
        <v>1302</v>
      </c>
      <c r="C33">
        <v>47</v>
      </c>
      <c r="D33">
        <v>15153</v>
      </c>
      <c r="E33" s="1">
        <v>1147576</v>
      </c>
      <c r="F33">
        <v>0.09</v>
      </c>
      <c r="G33">
        <v>30</v>
      </c>
      <c r="H33">
        <v>602</v>
      </c>
      <c r="I33">
        <v>2</v>
      </c>
      <c r="J33" s="1">
        <v>40668</v>
      </c>
      <c r="K33" s="24" t="s">
        <v>1773</v>
      </c>
      <c r="L33" s="7">
        <f>EV[[#This Row],[Current_Debt]]/EV[[#This Row],[Monthly_Income]]</f>
        <v>2.6838249851514551</v>
      </c>
      <c r="M33" t="s">
        <v>2291</v>
      </c>
    </row>
    <row r="34" spans="1:13" x14ac:dyDescent="0.3">
      <c r="A34">
        <v>33</v>
      </c>
      <c r="B34" t="s">
        <v>1303</v>
      </c>
      <c r="C34">
        <v>32</v>
      </c>
      <c r="D34">
        <v>47019</v>
      </c>
      <c r="E34" s="1">
        <v>940945</v>
      </c>
      <c r="F34">
        <v>9.1999999999999998E-2</v>
      </c>
      <c r="G34">
        <v>20</v>
      </c>
      <c r="H34">
        <v>657</v>
      </c>
      <c r="I34">
        <v>1</v>
      </c>
      <c r="J34" s="1">
        <v>41718</v>
      </c>
      <c r="K34" s="24" t="s">
        <v>1772</v>
      </c>
      <c r="L34" s="7">
        <f>EV[[#This Row],[Current_Debt]]/EV[[#This Row],[Monthly_Income]]</f>
        <v>0.88725834237223256</v>
      </c>
      <c r="M34" t="s">
        <v>2292</v>
      </c>
    </row>
    <row r="35" spans="1:13" x14ac:dyDescent="0.3">
      <c r="A35">
        <v>34</v>
      </c>
      <c r="B35" t="s">
        <v>1304</v>
      </c>
      <c r="C35">
        <v>46</v>
      </c>
      <c r="D35">
        <v>86476</v>
      </c>
      <c r="E35" s="1">
        <v>2376527</v>
      </c>
      <c r="F35">
        <v>0.108</v>
      </c>
      <c r="G35">
        <v>25</v>
      </c>
      <c r="H35">
        <v>729</v>
      </c>
      <c r="I35">
        <v>5</v>
      </c>
      <c r="J35" s="1">
        <v>45754</v>
      </c>
      <c r="K35" s="24" t="s">
        <v>1772</v>
      </c>
      <c r="L35" s="7">
        <f>EV[[#This Row],[Current_Debt]]/EV[[#This Row],[Monthly_Income]]</f>
        <v>0.52909477774180125</v>
      </c>
      <c r="M35" t="s">
        <v>1786</v>
      </c>
    </row>
    <row r="36" spans="1:13" x14ac:dyDescent="0.3">
      <c r="A36">
        <v>35</v>
      </c>
      <c r="B36" t="s">
        <v>1305</v>
      </c>
      <c r="C36">
        <v>53</v>
      </c>
      <c r="D36">
        <v>59793</v>
      </c>
      <c r="E36" s="1">
        <v>581141</v>
      </c>
      <c r="F36">
        <v>8.1000000000000003E-2</v>
      </c>
      <c r="G36">
        <v>10</v>
      </c>
      <c r="H36">
        <v>752</v>
      </c>
      <c r="I36">
        <v>12</v>
      </c>
      <c r="J36" s="1">
        <v>7047</v>
      </c>
      <c r="K36" s="26" t="s">
        <v>1774</v>
      </c>
      <c r="L36" s="7">
        <f>EV[[#This Row],[Current_Debt]]/EV[[#This Row],[Monthly_Income]]</f>
        <v>0.11785660528824445</v>
      </c>
      <c r="M36" t="s">
        <v>1785</v>
      </c>
    </row>
    <row r="37" spans="1:13" x14ac:dyDescent="0.3">
      <c r="A37">
        <v>36</v>
      </c>
      <c r="B37" t="s">
        <v>1306</v>
      </c>
      <c r="C37">
        <v>58</v>
      </c>
      <c r="D37">
        <v>18124</v>
      </c>
      <c r="E37" s="1">
        <v>2329885</v>
      </c>
      <c r="F37">
        <v>0.114</v>
      </c>
      <c r="G37">
        <v>30</v>
      </c>
      <c r="H37">
        <v>690</v>
      </c>
      <c r="I37">
        <v>1</v>
      </c>
      <c r="J37" s="1">
        <v>22707</v>
      </c>
      <c r="K37" s="24" t="s">
        <v>1772</v>
      </c>
      <c r="L37" s="7">
        <f>EV[[#This Row],[Current_Debt]]/EV[[#This Row],[Monthly_Income]]</f>
        <v>1.2528691238137277</v>
      </c>
      <c r="M37" t="s">
        <v>1786</v>
      </c>
    </row>
    <row r="38" spans="1:13" x14ac:dyDescent="0.3">
      <c r="A38">
        <v>37</v>
      </c>
      <c r="B38" t="s">
        <v>1307</v>
      </c>
      <c r="C38">
        <v>21</v>
      </c>
      <c r="D38">
        <v>77097</v>
      </c>
      <c r="E38" s="1">
        <v>987501</v>
      </c>
      <c r="F38">
        <v>0.10100000000000001</v>
      </c>
      <c r="G38">
        <v>25</v>
      </c>
      <c r="H38">
        <v>689</v>
      </c>
      <c r="I38">
        <v>0</v>
      </c>
      <c r="J38" s="1">
        <v>2625</v>
      </c>
      <c r="K38" s="25" t="s">
        <v>1773</v>
      </c>
      <c r="L38" s="7">
        <f>EV[[#This Row],[Current_Debt]]/EV[[#This Row],[Monthly_Income]]</f>
        <v>3.4048017432584926E-2</v>
      </c>
      <c r="M38" t="s">
        <v>1784</v>
      </c>
    </row>
    <row r="39" spans="1:13" x14ac:dyDescent="0.3">
      <c r="A39">
        <v>38</v>
      </c>
      <c r="B39" t="s">
        <v>1308</v>
      </c>
      <c r="C39">
        <v>22</v>
      </c>
      <c r="D39">
        <v>54288</v>
      </c>
      <c r="E39" s="1">
        <v>2167187</v>
      </c>
      <c r="F39">
        <v>0.11</v>
      </c>
      <c r="G39">
        <v>10</v>
      </c>
      <c r="H39">
        <v>850</v>
      </c>
      <c r="I39">
        <v>4</v>
      </c>
      <c r="J39" s="1">
        <v>40677</v>
      </c>
      <c r="K39" s="25" t="s">
        <v>1773</v>
      </c>
      <c r="L39" s="7">
        <f>EV[[#This Row],[Current_Debt]]/EV[[#This Row],[Monthly_Income]]</f>
        <v>0.74928160919540232</v>
      </c>
      <c r="M39" t="s">
        <v>1784</v>
      </c>
    </row>
    <row r="40" spans="1:13" x14ac:dyDescent="0.3">
      <c r="A40">
        <v>39</v>
      </c>
      <c r="B40" t="s">
        <v>1309</v>
      </c>
      <c r="C40">
        <v>53</v>
      </c>
      <c r="D40">
        <v>115458</v>
      </c>
      <c r="E40" s="1">
        <v>1926666</v>
      </c>
      <c r="F40">
        <v>0.12</v>
      </c>
      <c r="G40">
        <v>30</v>
      </c>
      <c r="H40">
        <v>719</v>
      </c>
      <c r="I40">
        <v>2</v>
      </c>
      <c r="J40" s="1">
        <v>37356</v>
      </c>
      <c r="K40" s="24" t="s">
        <v>1772</v>
      </c>
      <c r="L40" s="7">
        <f>EV[[#This Row],[Current_Debt]]/EV[[#This Row],[Monthly_Income]]</f>
        <v>0.32354622460115368</v>
      </c>
      <c r="M40" t="s">
        <v>1786</v>
      </c>
    </row>
    <row r="41" spans="1:13" x14ac:dyDescent="0.3">
      <c r="A41">
        <v>40</v>
      </c>
      <c r="B41" t="s">
        <v>1310</v>
      </c>
      <c r="C41">
        <v>35</v>
      </c>
      <c r="D41">
        <v>99914</v>
      </c>
      <c r="E41" s="1">
        <v>557580</v>
      </c>
      <c r="F41">
        <v>9.1999999999999998E-2</v>
      </c>
      <c r="G41">
        <v>25</v>
      </c>
      <c r="H41">
        <v>769</v>
      </c>
      <c r="I41">
        <v>14</v>
      </c>
      <c r="J41" s="1">
        <v>44658</v>
      </c>
      <c r="K41" s="24" t="s">
        <v>1772</v>
      </c>
      <c r="L41" s="7">
        <f>EV[[#This Row],[Current_Debt]]/EV[[#This Row],[Monthly_Income]]</f>
        <v>0.44696438937486238</v>
      </c>
      <c r="M41" t="s">
        <v>1786</v>
      </c>
    </row>
    <row r="42" spans="1:13" x14ac:dyDescent="0.3">
      <c r="A42">
        <v>41</v>
      </c>
      <c r="B42" t="s">
        <v>1311</v>
      </c>
      <c r="C42">
        <v>59</v>
      </c>
      <c r="D42">
        <v>39173</v>
      </c>
      <c r="E42" s="1">
        <v>2330942</v>
      </c>
      <c r="F42">
        <v>9.1999999999999998E-2</v>
      </c>
      <c r="G42">
        <v>15</v>
      </c>
      <c r="H42">
        <v>639</v>
      </c>
      <c r="I42">
        <v>15</v>
      </c>
      <c r="J42" s="1">
        <v>49175</v>
      </c>
      <c r="K42" s="24" t="s">
        <v>1773</v>
      </c>
      <c r="L42" s="7">
        <f>EV[[#This Row],[Current_Debt]]/EV[[#This Row],[Monthly_Income]]</f>
        <v>1.2553289255354454</v>
      </c>
      <c r="M42" t="s">
        <v>2291</v>
      </c>
    </row>
    <row r="43" spans="1:13" x14ac:dyDescent="0.3">
      <c r="A43">
        <v>42</v>
      </c>
      <c r="B43" t="s">
        <v>1312</v>
      </c>
      <c r="C43">
        <v>38</v>
      </c>
      <c r="D43">
        <v>102549</v>
      </c>
      <c r="E43" s="1">
        <v>1821899</v>
      </c>
      <c r="F43">
        <v>0.111</v>
      </c>
      <c r="G43">
        <v>15</v>
      </c>
      <c r="H43">
        <v>639</v>
      </c>
      <c r="I43">
        <v>2</v>
      </c>
      <c r="J43" s="1">
        <v>7027</v>
      </c>
      <c r="K43" s="24" t="s">
        <v>1773</v>
      </c>
      <c r="L43" s="7">
        <f>EV[[#This Row],[Current_Debt]]/EV[[#This Row],[Monthly_Income]]</f>
        <v>6.8523340061824103E-2</v>
      </c>
      <c r="M43" t="s">
        <v>2291</v>
      </c>
    </row>
    <row r="44" spans="1:13" x14ac:dyDescent="0.3">
      <c r="A44">
        <v>43</v>
      </c>
      <c r="B44" t="s">
        <v>1313</v>
      </c>
      <c r="C44">
        <v>45</v>
      </c>
      <c r="D44">
        <v>47771</v>
      </c>
      <c r="E44" s="1">
        <v>1011585</v>
      </c>
      <c r="F44">
        <v>0.11</v>
      </c>
      <c r="G44">
        <v>20</v>
      </c>
      <c r="H44">
        <v>638</v>
      </c>
      <c r="I44">
        <v>14</v>
      </c>
      <c r="J44" s="1">
        <v>43163</v>
      </c>
      <c r="K44" s="24" t="s">
        <v>1773</v>
      </c>
      <c r="L44" s="7">
        <f>EV[[#This Row],[Current_Debt]]/EV[[#This Row],[Monthly_Income]]</f>
        <v>0.90353980448389193</v>
      </c>
      <c r="M44" t="s">
        <v>2291</v>
      </c>
    </row>
    <row r="45" spans="1:13" x14ac:dyDescent="0.3">
      <c r="A45">
        <v>44</v>
      </c>
      <c r="B45" t="s">
        <v>1314</v>
      </c>
      <c r="C45">
        <v>32</v>
      </c>
      <c r="D45">
        <v>91436</v>
      </c>
      <c r="E45" s="1">
        <v>2294336</v>
      </c>
      <c r="F45">
        <v>9.6000000000000002E-2</v>
      </c>
      <c r="G45">
        <v>30</v>
      </c>
      <c r="H45">
        <v>799</v>
      </c>
      <c r="I45">
        <v>12</v>
      </c>
      <c r="J45" s="1">
        <v>16986</v>
      </c>
      <c r="K45" s="24" t="s">
        <v>1772</v>
      </c>
      <c r="L45" s="7">
        <f>EV[[#This Row],[Current_Debt]]/EV[[#This Row],[Monthly_Income]]</f>
        <v>0.18576928124589878</v>
      </c>
      <c r="M45" t="s">
        <v>1786</v>
      </c>
    </row>
    <row r="46" spans="1:13" x14ac:dyDescent="0.3">
      <c r="A46">
        <v>45</v>
      </c>
      <c r="B46" t="s">
        <v>1315</v>
      </c>
      <c r="C46">
        <v>30</v>
      </c>
      <c r="D46">
        <v>107925</v>
      </c>
      <c r="E46" s="1">
        <v>1825789</v>
      </c>
      <c r="F46">
        <v>9.2999999999999999E-2</v>
      </c>
      <c r="G46">
        <v>25</v>
      </c>
      <c r="H46">
        <v>829</v>
      </c>
      <c r="I46">
        <v>3</v>
      </c>
      <c r="J46" s="1">
        <v>15264</v>
      </c>
      <c r="K46" s="24" t="s">
        <v>1772</v>
      </c>
      <c r="L46" s="7">
        <f>EV[[#This Row],[Current_Debt]]/EV[[#This Row],[Monthly_Income]]</f>
        <v>0.14143154968728283</v>
      </c>
      <c r="M46" t="s">
        <v>1786</v>
      </c>
    </row>
    <row r="47" spans="1:13" x14ac:dyDescent="0.3">
      <c r="A47">
        <v>46</v>
      </c>
      <c r="B47" t="s">
        <v>1316</v>
      </c>
      <c r="C47">
        <v>62</v>
      </c>
      <c r="D47">
        <v>37708</v>
      </c>
      <c r="E47" s="1">
        <v>1823136</v>
      </c>
      <c r="F47">
        <v>0.11600000000000001</v>
      </c>
      <c r="G47">
        <v>25</v>
      </c>
      <c r="H47">
        <v>670</v>
      </c>
      <c r="I47">
        <v>4</v>
      </c>
      <c r="J47" s="1">
        <v>10154</v>
      </c>
      <c r="K47" s="24" t="s">
        <v>1772</v>
      </c>
      <c r="L47" s="7">
        <f>EV[[#This Row],[Current_Debt]]/EV[[#This Row],[Monthly_Income]]</f>
        <v>0.26927972843958842</v>
      </c>
      <c r="M47" t="s">
        <v>2292</v>
      </c>
    </row>
    <row r="48" spans="1:13" x14ac:dyDescent="0.3">
      <c r="A48">
        <v>47</v>
      </c>
      <c r="B48" t="s">
        <v>1317</v>
      </c>
      <c r="C48">
        <v>32</v>
      </c>
      <c r="D48">
        <v>102628</v>
      </c>
      <c r="E48" s="1">
        <v>2373556</v>
      </c>
      <c r="F48">
        <v>8.5000000000000006E-2</v>
      </c>
      <c r="G48">
        <v>20</v>
      </c>
      <c r="H48">
        <v>774</v>
      </c>
      <c r="I48">
        <v>13</v>
      </c>
      <c r="J48" s="1">
        <v>12710</v>
      </c>
      <c r="K48" s="24" t="s">
        <v>1774</v>
      </c>
      <c r="L48" s="7">
        <f>EV[[#This Row],[Current_Debt]]/EV[[#This Row],[Monthly_Income]]</f>
        <v>0.12384534435046966</v>
      </c>
      <c r="M48" t="s">
        <v>1785</v>
      </c>
    </row>
    <row r="49" spans="1:13" x14ac:dyDescent="0.3">
      <c r="A49">
        <v>48</v>
      </c>
      <c r="B49" t="s">
        <v>1318</v>
      </c>
      <c r="C49">
        <v>28</v>
      </c>
      <c r="D49">
        <v>78757</v>
      </c>
      <c r="E49" s="1">
        <v>1438762</v>
      </c>
      <c r="F49">
        <v>0.105</v>
      </c>
      <c r="G49">
        <v>15</v>
      </c>
      <c r="H49">
        <v>644</v>
      </c>
      <c r="I49">
        <v>14</v>
      </c>
      <c r="J49" s="1">
        <v>36864</v>
      </c>
      <c r="K49" s="24" t="s">
        <v>1773</v>
      </c>
      <c r="L49" s="7">
        <f>EV[[#This Row],[Current_Debt]]/EV[[#This Row],[Monthly_Income]]</f>
        <v>0.46807267925390761</v>
      </c>
      <c r="M49" t="s">
        <v>2291</v>
      </c>
    </row>
    <row r="50" spans="1:13" x14ac:dyDescent="0.3">
      <c r="A50">
        <v>49</v>
      </c>
      <c r="B50" t="s">
        <v>1319</v>
      </c>
      <c r="C50">
        <v>31</v>
      </c>
      <c r="D50">
        <v>89164</v>
      </c>
      <c r="E50" s="1">
        <v>1602187</v>
      </c>
      <c r="F50">
        <v>0.11</v>
      </c>
      <c r="G50">
        <v>10</v>
      </c>
      <c r="H50">
        <v>801</v>
      </c>
      <c r="I50">
        <v>0</v>
      </c>
      <c r="J50" s="1">
        <v>40157</v>
      </c>
      <c r="K50" s="24" t="s">
        <v>1772</v>
      </c>
      <c r="L50" s="7">
        <f>EV[[#This Row],[Current_Debt]]/EV[[#This Row],[Monthly_Income]]</f>
        <v>0.45037234758422684</v>
      </c>
      <c r="M50" t="s">
        <v>1786</v>
      </c>
    </row>
    <row r="51" spans="1:13" x14ac:dyDescent="0.3">
      <c r="A51">
        <v>50</v>
      </c>
      <c r="B51" t="s">
        <v>1320</v>
      </c>
      <c r="C51">
        <v>29</v>
      </c>
      <c r="D51">
        <v>77072</v>
      </c>
      <c r="E51" s="1">
        <v>1270634</v>
      </c>
      <c r="F51">
        <v>0.1</v>
      </c>
      <c r="G51">
        <v>25</v>
      </c>
      <c r="H51">
        <v>829</v>
      </c>
      <c r="I51">
        <v>8</v>
      </c>
      <c r="J51" s="1">
        <v>8509</v>
      </c>
      <c r="K51" s="26" t="s">
        <v>1774</v>
      </c>
      <c r="L51" s="7">
        <f>EV[[#This Row],[Current_Debt]]/EV[[#This Row],[Monthly_Income]]</f>
        <v>0.11040325929001453</v>
      </c>
      <c r="M51" t="s">
        <v>1785</v>
      </c>
    </row>
    <row r="52" spans="1:13" x14ac:dyDescent="0.3">
      <c r="A52">
        <v>51</v>
      </c>
      <c r="B52" t="s">
        <v>1321</v>
      </c>
      <c r="C52">
        <v>64</v>
      </c>
      <c r="D52">
        <v>60014</v>
      </c>
      <c r="E52" s="1">
        <v>1684806</v>
      </c>
      <c r="F52">
        <v>0.09</v>
      </c>
      <c r="G52">
        <v>30</v>
      </c>
      <c r="H52">
        <v>614</v>
      </c>
      <c r="I52">
        <v>6</v>
      </c>
      <c r="J52" s="1">
        <v>23404</v>
      </c>
      <c r="K52" s="24" t="s">
        <v>1773</v>
      </c>
      <c r="L52" s="7">
        <f>EV[[#This Row],[Current_Debt]]/EV[[#This Row],[Monthly_Income]]</f>
        <v>0.38997567234311992</v>
      </c>
      <c r="M52" t="s">
        <v>2291</v>
      </c>
    </row>
    <row r="53" spans="1:13" x14ac:dyDescent="0.3">
      <c r="A53">
        <v>52</v>
      </c>
      <c r="B53" t="s">
        <v>1322</v>
      </c>
      <c r="C53">
        <v>54</v>
      </c>
      <c r="D53">
        <v>116837</v>
      </c>
      <c r="E53" s="1">
        <v>2113347</v>
      </c>
      <c r="F53">
        <v>8.7999999999999995E-2</v>
      </c>
      <c r="G53">
        <v>20</v>
      </c>
      <c r="H53">
        <v>795</v>
      </c>
      <c r="I53">
        <v>11</v>
      </c>
      <c r="J53" s="1">
        <v>40748</v>
      </c>
      <c r="K53" s="24" t="s">
        <v>1772</v>
      </c>
      <c r="L53" s="7">
        <f>EV[[#This Row],[Current_Debt]]/EV[[#This Row],[Monthly_Income]]</f>
        <v>0.34875938272978596</v>
      </c>
      <c r="M53" t="s">
        <v>1786</v>
      </c>
    </row>
    <row r="54" spans="1:13" x14ac:dyDescent="0.3">
      <c r="A54">
        <v>53</v>
      </c>
      <c r="B54" t="s">
        <v>1323</v>
      </c>
      <c r="C54">
        <v>30</v>
      </c>
      <c r="D54">
        <v>34984</v>
      </c>
      <c r="E54" s="1">
        <v>2391742</v>
      </c>
      <c r="F54">
        <v>9.9000000000000005E-2</v>
      </c>
      <c r="G54">
        <v>20</v>
      </c>
      <c r="H54">
        <v>786</v>
      </c>
      <c r="I54">
        <v>14</v>
      </c>
      <c r="J54" s="1">
        <v>30513</v>
      </c>
      <c r="K54" s="24" t="s">
        <v>1772</v>
      </c>
      <c r="L54" s="7">
        <f>EV[[#This Row],[Current_Debt]]/EV[[#This Row],[Monthly_Income]]</f>
        <v>0.87219871941458949</v>
      </c>
      <c r="M54" t="s">
        <v>1786</v>
      </c>
    </row>
    <row r="55" spans="1:13" x14ac:dyDescent="0.3">
      <c r="A55">
        <v>54</v>
      </c>
      <c r="B55" t="s">
        <v>1324</v>
      </c>
      <c r="C55">
        <v>43</v>
      </c>
      <c r="D55">
        <v>78404</v>
      </c>
      <c r="E55" s="1">
        <v>2302554</v>
      </c>
      <c r="F55">
        <v>0.10199999999999999</v>
      </c>
      <c r="G55">
        <v>20</v>
      </c>
      <c r="H55">
        <v>643</v>
      </c>
      <c r="I55">
        <v>10</v>
      </c>
      <c r="J55" s="1">
        <v>17503</v>
      </c>
      <c r="K55" s="24" t="s">
        <v>1773</v>
      </c>
      <c r="L55" s="7">
        <f>EV[[#This Row],[Current_Debt]]/EV[[#This Row],[Monthly_Income]]</f>
        <v>0.22324116116524667</v>
      </c>
      <c r="M55" t="s">
        <v>2291</v>
      </c>
    </row>
    <row r="56" spans="1:13" x14ac:dyDescent="0.3">
      <c r="A56">
        <v>55</v>
      </c>
      <c r="B56" t="s">
        <v>1325</v>
      </c>
      <c r="C56">
        <v>43</v>
      </c>
      <c r="D56">
        <v>93430</v>
      </c>
      <c r="E56" s="1">
        <v>2359664</v>
      </c>
      <c r="F56">
        <v>9.0999999999999998E-2</v>
      </c>
      <c r="G56">
        <v>10</v>
      </c>
      <c r="H56">
        <v>650</v>
      </c>
      <c r="I56">
        <v>13</v>
      </c>
      <c r="J56" s="1">
        <v>4080</v>
      </c>
      <c r="K56" s="24" t="s">
        <v>1772</v>
      </c>
      <c r="L56" s="7">
        <f>EV[[#This Row],[Current_Debt]]/EV[[#This Row],[Monthly_Income]]</f>
        <v>4.3669057048057368E-2</v>
      </c>
      <c r="M56" t="s">
        <v>2292</v>
      </c>
    </row>
    <row r="57" spans="1:13" x14ac:dyDescent="0.3">
      <c r="A57">
        <v>56</v>
      </c>
      <c r="B57" t="s">
        <v>1326</v>
      </c>
      <c r="C57">
        <v>40</v>
      </c>
      <c r="D57">
        <v>50557</v>
      </c>
      <c r="E57" s="1">
        <v>685148</v>
      </c>
      <c r="F57">
        <v>8.5999999999999993E-2</v>
      </c>
      <c r="G57">
        <v>25</v>
      </c>
      <c r="H57">
        <v>699</v>
      </c>
      <c r="I57">
        <v>7</v>
      </c>
      <c r="J57" s="1">
        <v>29903</v>
      </c>
      <c r="K57" s="24" t="s">
        <v>1772</v>
      </c>
      <c r="L57" s="7">
        <f>EV[[#This Row],[Current_Debt]]/EV[[#This Row],[Monthly_Income]]</f>
        <v>0.59147101291611448</v>
      </c>
      <c r="M57" t="s">
        <v>1786</v>
      </c>
    </row>
    <row r="58" spans="1:13" x14ac:dyDescent="0.3">
      <c r="A58">
        <v>57</v>
      </c>
      <c r="B58" t="s">
        <v>1327</v>
      </c>
      <c r="C58">
        <v>23</v>
      </c>
      <c r="D58">
        <v>37720</v>
      </c>
      <c r="E58" s="1">
        <v>1206997</v>
      </c>
      <c r="F58">
        <v>0.106</v>
      </c>
      <c r="G58">
        <v>25</v>
      </c>
      <c r="H58">
        <v>789</v>
      </c>
      <c r="I58">
        <v>6</v>
      </c>
      <c r="J58" s="1">
        <v>16814</v>
      </c>
      <c r="K58" s="25" t="s">
        <v>1773</v>
      </c>
      <c r="L58" s="7">
        <f>EV[[#This Row],[Current_Debt]]/EV[[#This Row],[Monthly_Income]]</f>
        <v>0.44575821845174973</v>
      </c>
      <c r="M58" t="s">
        <v>1784</v>
      </c>
    </row>
    <row r="59" spans="1:13" x14ac:dyDescent="0.3">
      <c r="A59">
        <v>58</v>
      </c>
      <c r="B59" t="s">
        <v>1328</v>
      </c>
      <c r="C59">
        <v>61</v>
      </c>
      <c r="D59">
        <v>17295</v>
      </c>
      <c r="E59" s="1">
        <v>1174637</v>
      </c>
      <c r="F59">
        <v>0.10199999999999999</v>
      </c>
      <c r="G59">
        <v>30</v>
      </c>
      <c r="H59">
        <v>751</v>
      </c>
      <c r="I59">
        <v>1</v>
      </c>
      <c r="J59" s="1">
        <v>146</v>
      </c>
      <c r="K59" s="24" t="s">
        <v>1772</v>
      </c>
      <c r="L59" s="7">
        <f>EV[[#This Row],[Current_Debt]]/EV[[#This Row],[Monthly_Income]]</f>
        <v>8.4417461694131259E-3</v>
      </c>
      <c r="M59" t="s">
        <v>1786</v>
      </c>
    </row>
    <row r="60" spans="1:13" x14ac:dyDescent="0.3">
      <c r="A60">
        <v>59</v>
      </c>
      <c r="B60" t="s">
        <v>1329</v>
      </c>
      <c r="C60">
        <v>56</v>
      </c>
      <c r="D60">
        <v>99712</v>
      </c>
      <c r="E60" s="1">
        <v>1006085</v>
      </c>
      <c r="F60">
        <v>0.10199999999999999</v>
      </c>
      <c r="G60">
        <v>20</v>
      </c>
      <c r="H60">
        <v>818</v>
      </c>
      <c r="I60">
        <v>13</v>
      </c>
      <c r="J60" s="1">
        <v>1584</v>
      </c>
      <c r="K60" s="26" t="s">
        <v>1774</v>
      </c>
      <c r="L60" s="7">
        <f>EV[[#This Row],[Current_Debt]]/EV[[#This Row],[Monthly_Income]]</f>
        <v>1.5885750962772786E-2</v>
      </c>
      <c r="M60" t="s">
        <v>1785</v>
      </c>
    </row>
    <row r="61" spans="1:13" x14ac:dyDescent="0.3">
      <c r="A61">
        <v>60</v>
      </c>
      <c r="B61" t="s">
        <v>1330</v>
      </c>
      <c r="C61">
        <v>31</v>
      </c>
      <c r="D61">
        <v>46561</v>
      </c>
      <c r="E61" s="1">
        <v>1255700</v>
      </c>
      <c r="F61">
        <v>0.107</v>
      </c>
      <c r="G61">
        <v>10</v>
      </c>
      <c r="H61">
        <v>605</v>
      </c>
      <c r="I61">
        <v>6</v>
      </c>
      <c r="J61" s="1">
        <v>10226</v>
      </c>
      <c r="K61" s="24" t="s">
        <v>1773</v>
      </c>
      <c r="L61" s="7">
        <f>EV[[#This Row],[Current_Debt]]/EV[[#This Row],[Monthly_Income]]</f>
        <v>0.21962586714202872</v>
      </c>
      <c r="M61" t="s">
        <v>2291</v>
      </c>
    </row>
    <row r="62" spans="1:13" x14ac:dyDescent="0.3">
      <c r="A62">
        <v>61</v>
      </c>
      <c r="B62" t="s">
        <v>1331</v>
      </c>
      <c r="C62">
        <v>49</v>
      </c>
      <c r="D62">
        <v>107721</v>
      </c>
      <c r="E62" s="1">
        <v>500790</v>
      </c>
      <c r="F62">
        <v>0.108</v>
      </c>
      <c r="G62">
        <v>25</v>
      </c>
      <c r="H62">
        <v>835</v>
      </c>
      <c r="I62">
        <v>3</v>
      </c>
      <c r="J62" s="1">
        <v>33580</v>
      </c>
      <c r="K62" s="24" t="s">
        <v>1772</v>
      </c>
      <c r="L62" s="7">
        <f>EV[[#This Row],[Current_Debt]]/EV[[#This Row],[Monthly_Income]]</f>
        <v>0.31173123160757882</v>
      </c>
      <c r="M62" t="s">
        <v>1786</v>
      </c>
    </row>
    <row r="63" spans="1:13" x14ac:dyDescent="0.3">
      <c r="A63">
        <v>62</v>
      </c>
      <c r="B63" t="s">
        <v>1332</v>
      </c>
      <c r="C63">
        <v>47</v>
      </c>
      <c r="D63">
        <v>57868</v>
      </c>
      <c r="E63" s="1">
        <v>1600456</v>
      </c>
      <c r="F63">
        <v>9.1999999999999998E-2</v>
      </c>
      <c r="G63">
        <v>15</v>
      </c>
      <c r="H63">
        <v>750</v>
      </c>
      <c r="I63">
        <v>13</v>
      </c>
      <c r="J63" s="1">
        <v>46707</v>
      </c>
      <c r="K63" s="24" t="s">
        <v>1772</v>
      </c>
      <c r="L63" s="7">
        <f>EV[[#This Row],[Current_Debt]]/EV[[#This Row],[Monthly_Income]]</f>
        <v>0.80713002004562107</v>
      </c>
      <c r="M63" t="s">
        <v>1786</v>
      </c>
    </row>
    <row r="64" spans="1:13" x14ac:dyDescent="0.3">
      <c r="A64">
        <v>63</v>
      </c>
      <c r="B64" t="s">
        <v>1333</v>
      </c>
      <c r="C64">
        <v>40</v>
      </c>
      <c r="D64">
        <v>46262</v>
      </c>
      <c r="E64" s="1">
        <v>1179222</v>
      </c>
      <c r="F64">
        <v>0.08</v>
      </c>
      <c r="G64">
        <v>20</v>
      </c>
      <c r="H64">
        <v>671</v>
      </c>
      <c r="I64">
        <v>10</v>
      </c>
      <c r="J64" s="1">
        <v>39585</v>
      </c>
      <c r="K64" s="24" t="s">
        <v>1772</v>
      </c>
      <c r="L64" s="7">
        <f>EV[[#This Row],[Current_Debt]]/EV[[#This Row],[Monthly_Income]]</f>
        <v>0.85566988024728718</v>
      </c>
      <c r="M64" t="s">
        <v>2292</v>
      </c>
    </row>
    <row r="65" spans="1:13" x14ac:dyDescent="0.3">
      <c r="A65">
        <v>64</v>
      </c>
      <c r="B65" t="s">
        <v>1334</v>
      </c>
      <c r="C65">
        <v>36</v>
      </c>
      <c r="D65">
        <v>41938</v>
      </c>
      <c r="E65" s="1">
        <v>1397889</v>
      </c>
      <c r="F65">
        <v>9.5000000000000001E-2</v>
      </c>
      <c r="G65">
        <v>20</v>
      </c>
      <c r="H65">
        <v>623</v>
      </c>
      <c r="I65">
        <v>2</v>
      </c>
      <c r="J65" s="1">
        <v>44158</v>
      </c>
      <c r="K65" s="24" t="s">
        <v>1773</v>
      </c>
      <c r="L65" s="7">
        <f>EV[[#This Row],[Current_Debt]]/EV[[#This Row],[Monthly_Income]]</f>
        <v>1.0529352854213363</v>
      </c>
      <c r="M65" t="s">
        <v>2291</v>
      </c>
    </row>
    <row r="66" spans="1:13" x14ac:dyDescent="0.3">
      <c r="A66">
        <v>65</v>
      </c>
      <c r="B66" t="s">
        <v>1335</v>
      </c>
      <c r="C66">
        <v>56</v>
      </c>
      <c r="D66">
        <v>53714</v>
      </c>
      <c r="E66" s="1">
        <v>1862434</v>
      </c>
      <c r="F66">
        <v>0.108</v>
      </c>
      <c r="G66">
        <v>20</v>
      </c>
      <c r="H66">
        <v>783</v>
      </c>
      <c r="I66">
        <v>7</v>
      </c>
      <c r="J66" s="1">
        <v>12082</v>
      </c>
      <c r="K66" s="24" t="s">
        <v>1774</v>
      </c>
      <c r="L66" s="7">
        <f>EV[[#This Row],[Current_Debt]]/EV[[#This Row],[Monthly_Income]]</f>
        <v>0.22493204751089102</v>
      </c>
      <c r="M66" t="s">
        <v>1785</v>
      </c>
    </row>
    <row r="67" spans="1:13" x14ac:dyDescent="0.3">
      <c r="A67">
        <v>66</v>
      </c>
      <c r="B67" t="s">
        <v>1336</v>
      </c>
      <c r="C67">
        <v>59</v>
      </c>
      <c r="D67">
        <v>41091</v>
      </c>
      <c r="E67" s="1">
        <v>1553060</v>
      </c>
      <c r="F67">
        <v>9.1999999999999998E-2</v>
      </c>
      <c r="G67">
        <v>30</v>
      </c>
      <c r="H67">
        <v>609</v>
      </c>
      <c r="I67">
        <v>0</v>
      </c>
      <c r="J67" s="1">
        <v>31711</v>
      </c>
      <c r="K67" s="24" t="s">
        <v>1773</v>
      </c>
      <c r="L67" s="7">
        <f>EV[[#This Row],[Current_Debt]]/EV[[#This Row],[Monthly_Income]]</f>
        <v>0.77172616874741429</v>
      </c>
      <c r="M67" t="s">
        <v>2291</v>
      </c>
    </row>
    <row r="68" spans="1:13" x14ac:dyDescent="0.3">
      <c r="A68">
        <v>67</v>
      </c>
      <c r="B68" t="s">
        <v>1337</v>
      </c>
      <c r="C68">
        <v>46</v>
      </c>
      <c r="D68">
        <v>96709</v>
      </c>
      <c r="E68" s="1">
        <v>1849070</v>
      </c>
      <c r="F68">
        <v>0.111</v>
      </c>
      <c r="G68">
        <v>25</v>
      </c>
      <c r="H68">
        <v>709</v>
      </c>
      <c r="I68">
        <v>15</v>
      </c>
      <c r="J68" s="1">
        <v>22643</v>
      </c>
      <c r="K68" s="24" t="s">
        <v>1772</v>
      </c>
      <c r="L68" s="7">
        <f>EV[[#This Row],[Current_Debt]]/EV[[#This Row],[Monthly_Income]]</f>
        <v>0.23413539587835672</v>
      </c>
      <c r="M68" t="s">
        <v>1786</v>
      </c>
    </row>
    <row r="69" spans="1:13" x14ac:dyDescent="0.3">
      <c r="A69">
        <v>68</v>
      </c>
      <c r="B69" t="s">
        <v>1338</v>
      </c>
      <c r="C69">
        <v>30</v>
      </c>
      <c r="D69">
        <v>81800</v>
      </c>
      <c r="E69" s="1">
        <v>2398755</v>
      </c>
      <c r="F69">
        <v>0.10199999999999999</v>
      </c>
      <c r="G69">
        <v>20</v>
      </c>
      <c r="H69">
        <v>713</v>
      </c>
      <c r="I69">
        <v>0</v>
      </c>
      <c r="J69" s="1">
        <v>7100</v>
      </c>
      <c r="K69" s="24" t="s">
        <v>1772</v>
      </c>
      <c r="L69" s="7">
        <f>EV[[#This Row],[Current_Debt]]/EV[[#This Row],[Monthly_Income]]</f>
        <v>8.6797066014669924E-2</v>
      </c>
      <c r="M69" t="s">
        <v>1786</v>
      </c>
    </row>
    <row r="70" spans="1:13" x14ac:dyDescent="0.3">
      <c r="A70">
        <v>69</v>
      </c>
      <c r="B70" t="s">
        <v>1339</v>
      </c>
      <c r="C70">
        <v>61</v>
      </c>
      <c r="D70">
        <v>73199</v>
      </c>
      <c r="E70" s="1">
        <v>2093274</v>
      </c>
      <c r="F70">
        <v>0.09</v>
      </c>
      <c r="G70">
        <v>10</v>
      </c>
      <c r="H70">
        <v>675</v>
      </c>
      <c r="I70">
        <v>10</v>
      </c>
      <c r="J70" s="1">
        <v>7050</v>
      </c>
      <c r="K70" s="24" t="s">
        <v>1772</v>
      </c>
      <c r="L70" s="7">
        <f>EV[[#This Row],[Current_Debt]]/EV[[#This Row],[Monthly_Income]]</f>
        <v>9.6312791158349162E-2</v>
      </c>
      <c r="M70" t="s">
        <v>2292</v>
      </c>
    </row>
    <row r="71" spans="1:13" x14ac:dyDescent="0.3">
      <c r="A71">
        <v>70</v>
      </c>
      <c r="B71" t="s">
        <v>1340</v>
      </c>
      <c r="C71">
        <v>32</v>
      </c>
      <c r="D71">
        <v>72631</v>
      </c>
      <c r="E71" s="1">
        <v>1012162</v>
      </c>
      <c r="F71">
        <v>9.8000000000000004E-2</v>
      </c>
      <c r="G71">
        <v>10</v>
      </c>
      <c r="H71">
        <v>702</v>
      </c>
      <c r="I71">
        <v>5</v>
      </c>
      <c r="J71" s="1">
        <v>21958</v>
      </c>
      <c r="K71" s="24" t="s">
        <v>1772</v>
      </c>
      <c r="L71" s="7">
        <f>EV[[#This Row],[Current_Debt]]/EV[[#This Row],[Monthly_Income]]</f>
        <v>0.30232269967369307</v>
      </c>
      <c r="M71" t="s">
        <v>1786</v>
      </c>
    </row>
    <row r="72" spans="1:13" x14ac:dyDescent="0.3">
      <c r="A72">
        <v>71</v>
      </c>
      <c r="B72" t="s">
        <v>1341</v>
      </c>
      <c r="C72">
        <v>20</v>
      </c>
      <c r="D72">
        <v>43868</v>
      </c>
      <c r="E72" s="1">
        <v>2198371</v>
      </c>
      <c r="F72">
        <v>8.6999999999999994E-2</v>
      </c>
      <c r="G72">
        <v>20</v>
      </c>
      <c r="H72">
        <v>769</v>
      </c>
      <c r="I72">
        <v>9</v>
      </c>
      <c r="J72" s="1">
        <v>2027</v>
      </c>
      <c r="K72" s="25" t="s">
        <v>1773</v>
      </c>
      <c r="L72" s="7">
        <f>EV[[#This Row],[Current_Debt]]/EV[[#This Row],[Monthly_Income]]</f>
        <v>4.6206802224856389E-2</v>
      </c>
      <c r="M72" t="s">
        <v>1784</v>
      </c>
    </row>
    <row r="73" spans="1:13" x14ac:dyDescent="0.3">
      <c r="A73">
        <v>72</v>
      </c>
      <c r="B73" t="s">
        <v>1342</v>
      </c>
      <c r="C73">
        <v>60</v>
      </c>
      <c r="D73">
        <v>54086</v>
      </c>
      <c r="E73" s="1">
        <v>923759</v>
      </c>
      <c r="F73">
        <v>9.1999999999999998E-2</v>
      </c>
      <c r="G73">
        <v>20</v>
      </c>
      <c r="H73">
        <v>648</v>
      </c>
      <c r="I73">
        <v>12</v>
      </c>
      <c r="J73" s="1">
        <v>1884</v>
      </c>
      <c r="K73" s="24" t="s">
        <v>1773</v>
      </c>
      <c r="L73" s="7">
        <f>EV[[#This Row],[Current_Debt]]/EV[[#This Row],[Monthly_Income]]</f>
        <v>3.4833413452649481E-2</v>
      </c>
      <c r="M73" t="s">
        <v>2291</v>
      </c>
    </row>
    <row r="74" spans="1:13" x14ac:dyDescent="0.3">
      <c r="A74">
        <v>73</v>
      </c>
      <c r="B74" t="s">
        <v>1343</v>
      </c>
      <c r="C74">
        <v>48</v>
      </c>
      <c r="D74">
        <v>118995</v>
      </c>
      <c r="E74" s="1">
        <v>2460956</v>
      </c>
      <c r="F74">
        <v>9.6000000000000002E-2</v>
      </c>
      <c r="G74">
        <v>10</v>
      </c>
      <c r="H74">
        <v>818</v>
      </c>
      <c r="I74">
        <v>12</v>
      </c>
      <c r="J74" s="1">
        <v>14662</v>
      </c>
      <c r="K74" s="24" t="s">
        <v>1774</v>
      </c>
      <c r="L74" s="7">
        <f>EV[[#This Row],[Current_Debt]]/EV[[#This Row],[Monthly_Income]]</f>
        <v>0.12321526114542627</v>
      </c>
      <c r="M74" t="s">
        <v>1785</v>
      </c>
    </row>
    <row r="75" spans="1:13" x14ac:dyDescent="0.3">
      <c r="A75">
        <v>74</v>
      </c>
      <c r="B75" t="s">
        <v>1344</v>
      </c>
      <c r="C75">
        <v>39</v>
      </c>
      <c r="D75">
        <v>81348</v>
      </c>
      <c r="E75" s="1">
        <v>1345887</v>
      </c>
      <c r="F75">
        <v>9.4E-2</v>
      </c>
      <c r="G75">
        <v>30</v>
      </c>
      <c r="H75">
        <v>705</v>
      </c>
      <c r="I75">
        <v>3</v>
      </c>
      <c r="J75" s="1">
        <v>16833</v>
      </c>
      <c r="K75" s="24" t="s">
        <v>1772</v>
      </c>
      <c r="L75" s="7">
        <f>EV[[#This Row],[Current_Debt]]/EV[[#This Row],[Monthly_Income]]</f>
        <v>0.2069258002655259</v>
      </c>
      <c r="M75" t="s">
        <v>1786</v>
      </c>
    </row>
    <row r="76" spans="1:13" x14ac:dyDescent="0.3">
      <c r="A76">
        <v>75</v>
      </c>
      <c r="B76" t="s">
        <v>1345</v>
      </c>
      <c r="C76">
        <v>59</v>
      </c>
      <c r="D76">
        <v>95027</v>
      </c>
      <c r="E76" s="1">
        <v>2292112</v>
      </c>
      <c r="F76">
        <v>9.9000000000000005E-2</v>
      </c>
      <c r="G76">
        <v>10</v>
      </c>
      <c r="H76">
        <v>815</v>
      </c>
      <c r="I76">
        <v>7</v>
      </c>
      <c r="J76" s="1">
        <v>24811</v>
      </c>
      <c r="K76" s="24" t="s">
        <v>1772</v>
      </c>
      <c r="L76" s="7">
        <f>EV[[#This Row],[Current_Debt]]/EV[[#This Row],[Monthly_Income]]</f>
        <v>0.26109421532827515</v>
      </c>
      <c r="M76" t="s">
        <v>1786</v>
      </c>
    </row>
    <row r="77" spans="1:13" x14ac:dyDescent="0.3">
      <c r="A77">
        <v>76</v>
      </c>
      <c r="B77" t="s">
        <v>1346</v>
      </c>
      <c r="C77">
        <v>52</v>
      </c>
      <c r="D77">
        <v>89805</v>
      </c>
      <c r="E77" s="1">
        <v>1178667</v>
      </c>
      <c r="F77">
        <v>0.11600000000000001</v>
      </c>
      <c r="G77">
        <v>20</v>
      </c>
      <c r="H77">
        <v>635</v>
      </c>
      <c r="I77">
        <v>2</v>
      </c>
      <c r="J77" s="1">
        <v>11956</v>
      </c>
      <c r="K77" s="24" t="s">
        <v>1773</v>
      </c>
      <c r="L77" s="7">
        <f>EV[[#This Row],[Current_Debt]]/EV[[#This Row],[Monthly_Income]]</f>
        <v>0.13313289905907244</v>
      </c>
      <c r="M77" t="s">
        <v>2291</v>
      </c>
    </row>
    <row r="78" spans="1:13" x14ac:dyDescent="0.3">
      <c r="A78">
        <v>77</v>
      </c>
      <c r="B78" t="s">
        <v>1347</v>
      </c>
      <c r="C78">
        <v>50</v>
      </c>
      <c r="D78">
        <v>56757</v>
      </c>
      <c r="E78" s="1">
        <v>1572035</v>
      </c>
      <c r="F78">
        <v>9.8000000000000004E-2</v>
      </c>
      <c r="G78">
        <v>30</v>
      </c>
      <c r="H78">
        <v>754</v>
      </c>
      <c r="I78">
        <v>4</v>
      </c>
      <c r="J78" s="1">
        <v>7099</v>
      </c>
      <c r="K78" s="26" t="s">
        <v>1774</v>
      </c>
      <c r="L78" s="7">
        <f>EV[[#This Row],[Current_Debt]]/EV[[#This Row],[Monthly_Income]]</f>
        <v>0.1250770830029776</v>
      </c>
      <c r="M78" t="s">
        <v>1785</v>
      </c>
    </row>
    <row r="79" spans="1:13" x14ac:dyDescent="0.3">
      <c r="A79">
        <v>78</v>
      </c>
      <c r="B79" t="s">
        <v>1348</v>
      </c>
      <c r="C79">
        <v>24</v>
      </c>
      <c r="D79">
        <v>41094</v>
      </c>
      <c r="E79" s="1">
        <v>583921</v>
      </c>
      <c r="F79">
        <v>9.6000000000000002E-2</v>
      </c>
      <c r="G79">
        <v>15</v>
      </c>
      <c r="H79">
        <v>836</v>
      </c>
      <c r="I79">
        <v>15</v>
      </c>
      <c r="J79" s="1">
        <v>19926</v>
      </c>
      <c r="K79" s="25" t="s">
        <v>1773</v>
      </c>
      <c r="L79" s="7">
        <f>EV[[#This Row],[Current_Debt]]/EV[[#This Row],[Monthly_Income]]</f>
        <v>0.48488830486202367</v>
      </c>
      <c r="M79" t="s">
        <v>1784</v>
      </c>
    </row>
    <row r="80" spans="1:13" x14ac:dyDescent="0.3">
      <c r="A80">
        <v>79</v>
      </c>
      <c r="B80" t="s">
        <v>1349</v>
      </c>
      <c r="C80">
        <v>52</v>
      </c>
      <c r="D80">
        <v>54331</v>
      </c>
      <c r="E80" s="1">
        <v>1965705</v>
      </c>
      <c r="F80">
        <v>8.7999999999999995E-2</v>
      </c>
      <c r="G80">
        <v>20</v>
      </c>
      <c r="H80">
        <v>659</v>
      </c>
      <c r="I80">
        <v>6</v>
      </c>
      <c r="J80" s="1">
        <v>37941</v>
      </c>
      <c r="K80" s="24" t="s">
        <v>1772</v>
      </c>
      <c r="L80" s="7">
        <f>EV[[#This Row],[Current_Debt]]/EV[[#This Row],[Monthly_Income]]</f>
        <v>0.69833060315473672</v>
      </c>
      <c r="M80" t="s">
        <v>2292</v>
      </c>
    </row>
    <row r="81" spans="1:13" x14ac:dyDescent="0.3">
      <c r="A81">
        <v>80</v>
      </c>
      <c r="B81" t="s">
        <v>1350</v>
      </c>
      <c r="C81">
        <v>64</v>
      </c>
      <c r="D81">
        <v>27622</v>
      </c>
      <c r="E81" s="1">
        <v>1516552</v>
      </c>
      <c r="F81">
        <v>0.10100000000000001</v>
      </c>
      <c r="G81">
        <v>25</v>
      </c>
      <c r="H81">
        <v>623</v>
      </c>
      <c r="I81">
        <v>2</v>
      </c>
      <c r="J81" s="1">
        <v>32637</v>
      </c>
      <c r="K81" s="24" t="s">
        <v>1773</v>
      </c>
      <c r="L81" s="7">
        <f>EV[[#This Row],[Current_Debt]]/EV[[#This Row],[Monthly_Income]]</f>
        <v>1.1815581782637028</v>
      </c>
      <c r="M81" t="s">
        <v>2291</v>
      </c>
    </row>
    <row r="82" spans="1:13" x14ac:dyDescent="0.3">
      <c r="A82">
        <v>81</v>
      </c>
      <c r="B82" t="s">
        <v>1351</v>
      </c>
      <c r="C82">
        <v>60</v>
      </c>
      <c r="D82">
        <v>41436</v>
      </c>
      <c r="E82" s="1">
        <v>985000</v>
      </c>
      <c r="F82">
        <v>9.2999999999999999E-2</v>
      </c>
      <c r="G82">
        <v>15</v>
      </c>
      <c r="H82">
        <v>762</v>
      </c>
      <c r="I82">
        <v>6</v>
      </c>
      <c r="J82" s="1">
        <v>30865</v>
      </c>
      <c r="K82" s="24" t="s">
        <v>1772</v>
      </c>
      <c r="L82" s="7">
        <f>EV[[#This Row],[Current_Debt]]/EV[[#This Row],[Monthly_Income]]</f>
        <v>0.74488367603050487</v>
      </c>
      <c r="M82" t="s">
        <v>1786</v>
      </c>
    </row>
    <row r="83" spans="1:13" x14ac:dyDescent="0.3">
      <c r="A83">
        <v>82</v>
      </c>
      <c r="B83" t="s">
        <v>1352</v>
      </c>
      <c r="C83">
        <v>21</v>
      </c>
      <c r="D83">
        <v>87152</v>
      </c>
      <c r="E83" s="1">
        <v>2226421</v>
      </c>
      <c r="F83">
        <v>0.11</v>
      </c>
      <c r="G83">
        <v>15</v>
      </c>
      <c r="H83">
        <v>639</v>
      </c>
      <c r="I83">
        <v>1</v>
      </c>
      <c r="J83" s="1">
        <v>2783</v>
      </c>
      <c r="K83" s="25" t="s">
        <v>1773</v>
      </c>
      <c r="L83" s="7">
        <f>EV[[#This Row],[Current_Debt]]/EV[[#This Row],[Monthly_Income]]</f>
        <v>3.1932715256104277E-2</v>
      </c>
      <c r="M83" t="s">
        <v>1784</v>
      </c>
    </row>
    <row r="84" spans="1:13" x14ac:dyDescent="0.3">
      <c r="A84">
        <v>83</v>
      </c>
      <c r="B84" t="s">
        <v>1353</v>
      </c>
      <c r="C84">
        <v>36</v>
      </c>
      <c r="D84">
        <v>100052</v>
      </c>
      <c r="E84" s="1">
        <v>2190516</v>
      </c>
      <c r="F84">
        <v>0.104</v>
      </c>
      <c r="G84">
        <v>20</v>
      </c>
      <c r="H84">
        <v>660</v>
      </c>
      <c r="I84">
        <v>5</v>
      </c>
      <c r="J84" s="1">
        <v>28604</v>
      </c>
      <c r="K84" s="24" t="s">
        <v>1772</v>
      </c>
      <c r="L84" s="7">
        <f>EV[[#This Row],[Current_Debt]]/EV[[#This Row],[Monthly_Income]]</f>
        <v>0.28589133650501741</v>
      </c>
      <c r="M84" t="s">
        <v>2292</v>
      </c>
    </row>
    <row r="85" spans="1:13" x14ac:dyDescent="0.3">
      <c r="A85">
        <v>84</v>
      </c>
      <c r="B85" t="s">
        <v>1354</v>
      </c>
      <c r="C85">
        <v>20</v>
      </c>
      <c r="D85">
        <v>50521</v>
      </c>
      <c r="E85" s="1">
        <v>2115509</v>
      </c>
      <c r="F85">
        <v>0.106</v>
      </c>
      <c r="G85">
        <v>20</v>
      </c>
      <c r="H85">
        <v>780</v>
      </c>
      <c r="I85">
        <v>12</v>
      </c>
      <c r="J85" s="1">
        <v>32788</v>
      </c>
      <c r="K85" s="25" t="s">
        <v>1773</v>
      </c>
      <c r="L85" s="7">
        <f>EV[[#This Row],[Current_Debt]]/EV[[#This Row],[Monthly_Income]]</f>
        <v>0.64899744660636172</v>
      </c>
      <c r="M85" t="s">
        <v>1784</v>
      </c>
    </row>
    <row r="86" spans="1:13" x14ac:dyDescent="0.3">
      <c r="A86">
        <v>85</v>
      </c>
      <c r="B86" t="s">
        <v>1355</v>
      </c>
      <c r="C86">
        <v>62</v>
      </c>
      <c r="D86">
        <v>115457</v>
      </c>
      <c r="E86" s="1">
        <v>1173697</v>
      </c>
      <c r="F86">
        <v>9.8000000000000004E-2</v>
      </c>
      <c r="G86">
        <v>20</v>
      </c>
      <c r="H86">
        <v>648</v>
      </c>
      <c r="I86">
        <v>3</v>
      </c>
      <c r="J86" s="1">
        <v>32365</v>
      </c>
      <c r="K86" s="24" t="s">
        <v>1773</v>
      </c>
      <c r="L86" s="7">
        <f>EV[[#This Row],[Current_Debt]]/EV[[#This Row],[Monthly_Income]]</f>
        <v>0.28032081207722354</v>
      </c>
      <c r="M86" t="s">
        <v>2291</v>
      </c>
    </row>
    <row r="87" spans="1:13" x14ac:dyDescent="0.3">
      <c r="A87">
        <v>86</v>
      </c>
      <c r="B87" t="s">
        <v>1356</v>
      </c>
      <c r="C87">
        <v>46</v>
      </c>
      <c r="D87">
        <v>66814</v>
      </c>
      <c r="E87" s="1">
        <v>1967157</v>
      </c>
      <c r="F87">
        <v>0.113</v>
      </c>
      <c r="G87">
        <v>30</v>
      </c>
      <c r="H87">
        <v>767</v>
      </c>
      <c r="I87">
        <v>1</v>
      </c>
      <c r="J87" s="1">
        <v>19320</v>
      </c>
      <c r="K87" s="24" t="s">
        <v>1772</v>
      </c>
      <c r="L87" s="7">
        <f>EV[[#This Row],[Current_Debt]]/EV[[#This Row],[Monthly_Income]]</f>
        <v>0.28916095429101685</v>
      </c>
      <c r="M87" t="s">
        <v>1786</v>
      </c>
    </row>
    <row r="88" spans="1:13" x14ac:dyDescent="0.3">
      <c r="A88">
        <v>87</v>
      </c>
      <c r="B88" t="s">
        <v>1357</v>
      </c>
      <c r="C88">
        <v>62</v>
      </c>
      <c r="D88">
        <v>116403</v>
      </c>
      <c r="E88" s="1">
        <v>1674478</v>
      </c>
      <c r="F88">
        <v>0.114</v>
      </c>
      <c r="G88">
        <v>10</v>
      </c>
      <c r="H88">
        <v>680</v>
      </c>
      <c r="I88">
        <v>8</v>
      </c>
      <c r="J88" s="1">
        <v>12124</v>
      </c>
      <c r="K88" s="24" t="s">
        <v>1774</v>
      </c>
      <c r="L88" s="7">
        <f>EV[[#This Row],[Current_Debt]]/EV[[#This Row],[Monthly_Income]]</f>
        <v>0.10415539118407602</v>
      </c>
      <c r="M88" t="s">
        <v>2290</v>
      </c>
    </row>
    <row r="89" spans="1:13" x14ac:dyDescent="0.3">
      <c r="A89">
        <v>88</v>
      </c>
      <c r="B89" t="s">
        <v>1358</v>
      </c>
      <c r="C89">
        <v>43</v>
      </c>
      <c r="D89">
        <v>101326</v>
      </c>
      <c r="E89" s="1">
        <v>1419496</v>
      </c>
      <c r="F89">
        <v>9.6000000000000002E-2</v>
      </c>
      <c r="G89">
        <v>15</v>
      </c>
      <c r="H89">
        <v>664</v>
      </c>
      <c r="I89">
        <v>9</v>
      </c>
      <c r="J89" s="1">
        <v>39078</v>
      </c>
      <c r="K89" s="24" t="s">
        <v>1772</v>
      </c>
      <c r="L89" s="7">
        <f>EV[[#This Row],[Current_Debt]]/EV[[#This Row],[Monthly_Income]]</f>
        <v>0.38566606793912717</v>
      </c>
      <c r="M89" t="s">
        <v>2292</v>
      </c>
    </row>
    <row r="90" spans="1:13" x14ac:dyDescent="0.3">
      <c r="A90">
        <v>89</v>
      </c>
      <c r="B90" t="s">
        <v>1359</v>
      </c>
      <c r="C90">
        <v>26</v>
      </c>
      <c r="D90">
        <v>108809</v>
      </c>
      <c r="E90" s="1">
        <v>1701969</v>
      </c>
      <c r="F90">
        <v>0.09</v>
      </c>
      <c r="G90">
        <v>25</v>
      </c>
      <c r="H90">
        <v>728</v>
      </c>
      <c r="I90">
        <v>15</v>
      </c>
      <c r="J90" s="1">
        <v>45290</v>
      </c>
      <c r="K90" s="24" t="s">
        <v>1772</v>
      </c>
      <c r="L90" s="7">
        <f>EV[[#This Row],[Current_Debt]]/EV[[#This Row],[Monthly_Income]]</f>
        <v>0.41623395123565149</v>
      </c>
      <c r="M90" t="s">
        <v>1786</v>
      </c>
    </row>
    <row r="91" spans="1:13" x14ac:dyDescent="0.3">
      <c r="A91">
        <v>90</v>
      </c>
      <c r="B91" t="s">
        <v>1360</v>
      </c>
      <c r="C91">
        <v>37</v>
      </c>
      <c r="D91">
        <v>70495</v>
      </c>
      <c r="E91" s="1">
        <v>2351748</v>
      </c>
      <c r="F91">
        <v>0.11600000000000001</v>
      </c>
      <c r="G91">
        <v>25</v>
      </c>
      <c r="H91">
        <v>766</v>
      </c>
      <c r="I91">
        <v>13</v>
      </c>
      <c r="J91" s="1">
        <v>21312</v>
      </c>
      <c r="K91" s="24" t="s">
        <v>1772</v>
      </c>
      <c r="L91" s="7">
        <f>EV[[#This Row],[Current_Debt]]/EV[[#This Row],[Monthly_Income]]</f>
        <v>0.30231931342648416</v>
      </c>
      <c r="M91" t="s">
        <v>1786</v>
      </c>
    </row>
    <row r="92" spans="1:13" x14ac:dyDescent="0.3">
      <c r="A92">
        <v>91</v>
      </c>
      <c r="B92" t="s">
        <v>1361</v>
      </c>
      <c r="C92">
        <v>37</v>
      </c>
      <c r="D92">
        <v>103670</v>
      </c>
      <c r="E92" s="1">
        <v>2098642</v>
      </c>
      <c r="F92">
        <v>8.5999999999999993E-2</v>
      </c>
      <c r="G92">
        <v>30</v>
      </c>
      <c r="H92">
        <v>786</v>
      </c>
      <c r="I92">
        <v>2</v>
      </c>
      <c r="J92" s="1">
        <v>10418</v>
      </c>
      <c r="K92" s="24" t="s">
        <v>1774</v>
      </c>
      <c r="L92" s="7">
        <f>EV[[#This Row],[Current_Debt]]/EV[[#This Row],[Monthly_Income]]</f>
        <v>0.10049194559660461</v>
      </c>
      <c r="M92" t="s">
        <v>1785</v>
      </c>
    </row>
    <row r="93" spans="1:13" x14ac:dyDescent="0.3">
      <c r="A93">
        <v>92</v>
      </c>
      <c r="B93" t="s">
        <v>1362</v>
      </c>
      <c r="C93">
        <v>52</v>
      </c>
      <c r="D93">
        <v>72140</v>
      </c>
      <c r="E93" s="1">
        <v>565222</v>
      </c>
      <c r="F93">
        <v>0.11899999999999999</v>
      </c>
      <c r="G93">
        <v>25</v>
      </c>
      <c r="H93">
        <v>624</v>
      </c>
      <c r="I93">
        <v>4</v>
      </c>
      <c r="J93" s="1">
        <v>13777</v>
      </c>
      <c r="K93" s="24" t="s">
        <v>1773</v>
      </c>
      <c r="L93" s="7">
        <f>EV[[#This Row],[Current_Debt]]/EV[[#This Row],[Monthly_Income]]</f>
        <v>0.19097588023288051</v>
      </c>
      <c r="M93" t="s">
        <v>2291</v>
      </c>
    </row>
    <row r="94" spans="1:13" x14ac:dyDescent="0.3">
      <c r="A94">
        <v>93</v>
      </c>
      <c r="B94" t="s">
        <v>1363</v>
      </c>
      <c r="C94">
        <v>59</v>
      </c>
      <c r="D94">
        <v>36492</v>
      </c>
      <c r="E94" s="1">
        <v>2416532</v>
      </c>
      <c r="F94">
        <v>0.109</v>
      </c>
      <c r="G94">
        <v>10</v>
      </c>
      <c r="H94">
        <v>801</v>
      </c>
      <c r="I94">
        <v>11</v>
      </c>
      <c r="J94" s="1">
        <v>46987</v>
      </c>
      <c r="K94" s="24" t="s">
        <v>1772</v>
      </c>
      <c r="L94" s="7">
        <f>EV[[#This Row],[Current_Debt]]/EV[[#This Row],[Monthly_Income]]</f>
        <v>1.2875972815959662</v>
      </c>
      <c r="M94" t="s">
        <v>1786</v>
      </c>
    </row>
    <row r="95" spans="1:13" x14ac:dyDescent="0.3">
      <c r="A95">
        <v>94</v>
      </c>
      <c r="B95" t="s">
        <v>1364</v>
      </c>
      <c r="C95">
        <v>65</v>
      </c>
      <c r="D95">
        <v>77459</v>
      </c>
      <c r="E95" s="1">
        <v>1377173</v>
      </c>
      <c r="F95">
        <v>0.112</v>
      </c>
      <c r="G95">
        <v>15</v>
      </c>
      <c r="H95">
        <v>781</v>
      </c>
      <c r="I95">
        <v>7</v>
      </c>
      <c r="J95" s="1">
        <v>38834</v>
      </c>
      <c r="K95" s="24" t="s">
        <v>1772</v>
      </c>
      <c r="L95" s="7">
        <f>EV[[#This Row],[Current_Debt]]/EV[[#This Row],[Monthly_Income]]</f>
        <v>0.50134910081462447</v>
      </c>
      <c r="M95" t="s">
        <v>1786</v>
      </c>
    </row>
    <row r="96" spans="1:13" x14ac:dyDescent="0.3">
      <c r="A96">
        <v>95</v>
      </c>
      <c r="B96" t="s">
        <v>1365</v>
      </c>
      <c r="C96">
        <v>43</v>
      </c>
      <c r="D96">
        <v>36166</v>
      </c>
      <c r="E96" s="1">
        <v>1336419</v>
      </c>
      <c r="F96">
        <v>9.9000000000000005E-2</v>
      </c>
      <c r="G96">
        <v>10</v>
      </c>
      <c r="H96">
        <v>697</v>
      </c>
      <c r="I96">
        <v>11</v>
      </c>
      <c r="J96" s="1">
        <v>44547</v>
      </c>
      <c r="K96" s="24" t="s">
        <v>1772</v>
      </c>
      <c r="L96" s="7">
        <f>EV[[#This Row],[Current_Debt]]/EV[[#This Row],[Monthly_Income]]</f>
        <v>1.2317369905436044</v>
      </c>
      <c r="M96" t="s">
        <v>1786</v>
      </c>
    </row>
    <row r="97" spans="1:13" x14ac:dyDescent="0.3">
      <c r="A97">
        <v>96</v>
      </c>
      <c r="B97" t="s">
        <v>1366</v>
      </c>
      <c r="C97">
        <v>43</v>
      </c>
      <c r="D97">
        <v>15582</v>
      </c>
      <c r="E97" s="1">
        <v>972610</v>
      </c>
      <c r="F97">
        <v>8.5999999999999993E-2</v>
      </c>
      <c r="G97">
        <v>15</v>
      </c>
      <c r="H97">
        <v>658</v>
      </c>
      <c r="I97">
        <v>15</v>
      </c>
      <c r="J97" s="1">
        <v>39203</v>
      </c>
      <c r="K97" s="24" t="s">
        <v>1772</v>
      </c>
      <c r="L97" s="7">
        <f>EV[[#This Row],[Current_Debt]]/EV[[#This Row],[Monthly_Income]]</f>
        <v>2.5159158002823769</v>
      </c>
      <c r="M97" t="s">
        <v>2292</v>
      </c>
    </row>
    <row r="98" spans="1:13" x14ac:dyDescent="0.3">
      <c r="A98">
        <v>97</v>
      </c>
      <c r="B98" t="s">
        <v>1367</v>
      </c>
      <c r="C98">
        <v>34</v>
      </c>
      <c r="D98">
        <v>92634</v>
      </c>
      <c r="E98" s="1">
        <v>1239094</v>
      </c>
      <c r="F98">
        <v>0.12</v>
      </c>
      <c r="G98">
        <v>15</v>
      </c>
      <c r="H98">
        <v>802</v>
      </c>
      <c r="I98">
        <v>11</v>
      </c>
      <c r="J98" s="1">
        <v>21809</v>
      </c>
      <c r="K98" s="24" t="s">
        <v>1772</v>
      </c>
      <c r="L98" s="7">
        <f>EV[[#This Row],[Current_Debt]]/EV[[#This Row],[Monthly_Income]]</f>
        <v>0.23543191484768011</v>
      </c>
      <c r="M98" t="s">
        <v>1786</v>
      </c>
    </row>
    <row r="99" spans="1:13" x14ac:dyDescent="0.3">
      <c r="A99">
        <v>98</v>
      </c>
      <c r="B99" t="s">
        <v>1368</v>
      </c>
      <c r="C99">
        <v>36</v>
      </c>
      <c r="D99">
        <v>65888</v>
      </c>
      <c r="E99" s="1">
        <v>976290</v>
      </c>
      <c r="F99">
        <v>0.10199999999999999</v>
      </c>
      <c r="G99">
        <v>25</v>
      </c>
      <c r="H99">
        <v>810</v>
      </c>
      <c r="I99">
        <v>4</v>
      </c>
      <c r="J99" s="1">
        <v>22329</v>
      </c>
      <c r="K99" s="24" t="s">
        <v>1772</v>
      </c>
      <c r="L99" s="7">
        <f>EV[[#This Row],[Current_Debt]]/EV[[#This Row],[Monthly_Income]]</f>
        <v>0.33889327343370568</v>
      </c>
      <c r="M99" t="s">
        <v>1786</v>
      </c>
    </row>
    <row r="100" spans="1:13" x14ac:dyDescent="0.3">
      <c r="A100">
        <v>99</v>
      </c>
      <c r="B100" t="s">
        <v>1369</v>
      </c>
      <c r="C100">
        <v>54</v>
      </c>
      <c r="D100">
        <v>31983</v>
      </c>
      <c r="E100" s="1">
        <v>847438</v>
      </c>
      <c r="F100">
        <v>0.11600000000000001</v>
      </c>
      <c r="G100">
        <v>10</v>
      </c>
      <c r="H100">
        <v>800</v>
      </c>
      <c r="I100">
        <v>4</v>
      </c>
      <c r="J100" s="1">
        <v>5275</v>
      </c>
      <c r="K100" s="26" t="s">
        <v>1774</v>
      </c>
      <c r="L100" s="7">
        <f>EV[[#This Row],[Current_Debt]]/EV[[#This Row],[Monthly_Income]]</f>
        <v>0.16493136979020104</v>
      </c>
      <c r="M100" t="s">
        <v>1785</v>
      </c>
    </row>
    <row r="101" spans="1:13" x14ac:dyDescent="0.3">
      <c r="A101">
        <v>100</v>
      </c>
      <c r="B101" t="s">
        <v>1370</v>
      </c>
      <c r="C101">
        <v>45</v>
      </c>
      <c r="D101">
        <v>71713</v>
      </c>
      <c r="E101" s="1">
        <v>2275634</v>
      </c>
      <c r="F101">
        <v>0.113</v>
      </c>
      <c r="G101">
        <v>10</v>
      </c>
      <c r="H101">
        <v>744</v>
      </c>
      <c r="I101">
        <v>9</v>
      </c>
      <c r="J101" s="1">
        <v>6123</v>
      </c>
      <c r="K101" s="26" t="s">
        <v>1774</v>
      </c>
      <c r="L101" s="7">
        <f>EV[[#This Row],[Current_Debt]]/EV[[#This Row],[Monthly_Income]]</f>
        <v>8.5382008840795956E-2</v>
      </c>
      <c r="M101" t="s">
        <v>1785</v>
      </c>
    </row>
    <row r="102" spans="1:13" x14ac:dyDescent="0.3">
      <c r="A102">
        <v>101</v>
      </c>
      <c r="B102" t="s">
        <v>1371</v>
      </c>
      <c r="C102">
        <v>60</v>
      </c>
      <c r="D102">
        <v>59020</v>
      </c>
      <c r="E102" s="1">
        <v>814123</v>
      </c>
      <c r="F102">
        <v>9.8000000000000004E-2</v>
      </c>
      <c r="G102">
        <v>30</v>
      </c>
      <c r="H102">
        <v>716</v>
      </c>
      <c r="I102">
        <v>5</v>
      </c>
      <c r="J102" s="1">
        <v>9616</v>
      </c>
      <c r="K102" s="26" t="s">
        <v>1774</v>
      </c>
      <c r="L102" s="7">
        <f>EV[[#This Row],[Current_Debt]]/EV[[#This Row],[Monthly_Income]]</f>
        <v>0.16292782107760082</v>
      </c>
      <c r="M102" t="s">
        <v>1785</v>
      </c>
    </row>
    <row r="103" spans="1:13" x14ac:dyDescent="0.3">
      <c r="A103">
        <v>102</v>
      </c>
      <c r="B103" t="s">
        <v>1372</v>
      </c>
      <c r="C103">
        <v>64</v>
      </c>
      <c r="D103">
        <v>21514</v>
      </c>
      <c r="E103" s="1">
        <v>1451260</v>
      </c>
      <c r="F103">
        <v>0.1</v>
      </c>
      <c r="G103">
        <v>20</v>
      </c>
      <c r="H103">
        <v>621</v>
      </c>
      <c r="I103">
        <v>6</v>
      </c>
      <c r="J103" s="1">
        <v>19961</v>
      </c>
      <c r="K103" s="24" t="s">
        <v>1773</v>
      </c>
      <c r="L103" s="7">
        <f>EV[[#This Row],[Current_Debt]]/EV[[#This Row],[Monthly_Income]]</f>
        <v>0.92781444640699084</v>
      </c>
      <c r="M103" t="s">
        <v>2291</v>
      </c>
    </row>
    <row r="104" spans="1:13" x14ac:dyDescent="0.3">
      <c r="A104">
        <v>103</v>
      </c>
      <c r="B104" t="s">
        <v>1373</v>
      </c>
      <c r="C104">
        <v>58</v>
      </c>
      <c r="D104">
        <v>66708</v>
      </c>
      <c r="E104" s="1">
        <v>1901123</v>
      </c>
      <c r="F104">
        <v>9.7000000000000003E-2</v>
      </c>
      <c r="G104">
        <v>15</v>
      </c>
      <c r="H104">
        <v>738</v>
      </c>
      <c r="I104">
        <v>3</v>
      </c>
      <c r="J104" s="1">
        <v>22075</v>
      </c>
      <c r="K104" s="24" t="s">
        <v>1772</v>
      </c>
      <c r="L104" s="7">
        <f>EV[[#This Row],[Current_Debt]]/EV[[#This Row],[Monthly_Income]]</f>
        <v>0.33091982970558254</v>
      </c>
      <c r="M104" t="s">
        <v>1786</v>
      </c>
    </row>
    <row r="105" spans="1:13" x14ac:dyDescent="0.3">
      <c r="A105">
        <v>104</v>
      </c>
      <c r="B105" t="s">
        <v>1374</v>
      </c>
      <c r="C105">
        <v>31</v>
      </c>
      <c r="D105">
        <v>99924</v>
      </c>
      <c r="E105" s="1">
        <v>1859579</v>
      </c>
      <c r="F105">
        <v>9.4E-2</v>
      </c>
      <c r="G105">
        <v>10</v>
      </c>
      <c r="H105">
        <v>744</v>
      </c>
      <c r="I105">
        <v>1</v>
      </c>
      <c r="J105" s="1">
        <v>1757</v>
      </c>
      <c r="K105" s="24" t="s">
        <v>1772</v>
      </c>
      <c r="L105" s="7">
        <f>EV[[#This Row],[Current_Debt]]/EV[[#This Row],[Monthly_Income]]</f>
        <v>1.7583363356150676E-2</v>
      </c>
      <c r="M105" t="s">
        <v>1786</v>
      </c>
    </row>
    <row r="106" spans="1:13" x14ac:dyDescent="0.3">
      <c r="A106">
        <v>105</v>
      </c>
      <c r="B106" t="s">
        <v>1375</v>
      </c>
      <c r="C106">
        <v>37</v>
      </c>
      <c r="D106">
        <v>86399</v>
      </c>
      <c r="E106" s="1">
        <v>1725391</v>
      </c>
      <c r="F106">
        <v>0.11600000000000001</v>
      </c>
      <c r="G106">
        <v>25</v>
      </c>
      <c r="H106">
        <v>695</v>
      </c>
      <c r="I106">
        <v>9</v>
      </c>
      <c r="J106" s="1">
        <v>22614</v>
      </c>
      <c r="K106" s="24" t="s">
        <v>1772</v>
      </c>
      <c r="L106" s="7">
        <f>EV[[#This Row],[Current_Debt]]/EV[[#This Row],[Monthly_Income]]</f>
        <v>0.26173914049931135</v>
      </c>
      <c r="M106" t="s">
        <v>1786</v>
      </c>
    </row>
    <row r="107" spans="1:13" x14ac:dyDescent="0.3">
      <c r="A107">
        <v>106</v>
      </c>
      <c r="B107" t="s">
        <v>1376</v>
      </c>
      <c r="C107">
        <v>59</v>
      </c>
      <c r="D107">
        <v>88889</v>
      </c>
      <c r="E107" s="1">
        <v>2004169</v>
      </c>
      <c r="F107">
        <v>0.11700000000000001</v>
      </c>
      <c r="G107">
        <v>25</v>
      </c>
      <c r="H107">
        <v>835</v>
      </c>
      <c r="I107">
        <v>14</v>
      </c>
      <c r="J107" s="1">
        <v>7581</v>
      </c>
      <c r="K107" s="26" t="s">
        <v>1774</v>
      </c>
      <c r="L107" s="7">
        <f>EV[[#This Row],[Current_Debt]]/EV[[#This Row],[Monthly_Income]]</f>
        <v>8.5286143392320754E-2</v>
      </c>
      <c r="M107" t="s">
        <v>1785</v>
      </c>
    </row>
    <row r="108" spans="1:13" x14ac:dyDescent="0.3">
      <c r="A108">
        <v>107</v>
      </c>
      <c r="B108" t="s">
        <v>1377</v>
      </c>
      <c r="C108">
        <v>49</v>
      </c>
      <c r="D108">
        <v>92690</v>
      </c>
      <c r="E108" s="1">
        <v>986301</v>
      </c>
      <c r="F108">
        <v>9.7000000000000003E-2</v>
      </c>
      <c r="G108">
        <v>30</v>
      </c>
      <c r="H108">
        <v>748</v>
      </c>
      <c r="I108">
        <v>8</v>
      </c>
      <c r="J108" s="1">
        <v>35530</v>
      </c>
      <c r="K108" s="24" t="s">
        <v>1772</v>
      </c>
      <c r="L108" s="7">
        <f>EV[[#This Row],[Current_Debt]]/EV[[#This Row],[Monthly_Income]]</f>
        <v>0.38332074657460352</v>
      </c>
      <c r="M108" t="s">
        <v>1786</v>
      </c>
    </row>
    <row r="109" spans="1:13" x14ac:dyDescent="0.3">
      <c r="A109">
        <v>108</v>
      </c>
      <c r="B109" t="s">
        <v>1378</v>
      </c>
      <c r="C109">
        <v>52</v>
      </c>
      <c r="D109">
        <v>87131</v>
      </c>
      <c r="E109" s="1">
        <v>866113</v>
      </c>
      <c r="F109">
        <v>0.113</v>
      </c>
      <c r="G109">
        <v>10</v>
      </c>
      <c r="H109">
        <v>745</v>
      </c>
      <c r="I109">
        <v>9</v>
      </c>
      <c r="J109" s="1">
        <v>6523</v>
      </c>
      <c r="K109" s="26" t="s">
        <v>1774</v>
      </c>
      <c r="L109" s="7">
        <f>EV[[#This Row],[Current_Debt]]/EV[[#This Row],[Monthly_Income]]</f>
        <v>7.4864284812523677E-2</v>
      </c>
      <c r="M109" t="s">
        <v>1785</v>
      </c>
    </row>
    <row r="110" spans="1:13" x14ac:dyDescent="0.3">
      <c r="A110">
        <v>109</v>
      </c>
      <c r="B110" t="s">
        <v>1379</v>
      </c>
      <c r="C110">
        <v>21</v>
      </c>
      <c r="D110">
        <v>52075</v>
      </c>
      <c r="E110" s="1">
        <v>2283372</v>
      </c>
      <c r="F110">
        <v>0.108</v>
      </c>
      <c r="G110">
        <v>25</v>
      </c>
      <c r="H110">
        <v>842</v>
      </c>
      <c r="I110">
        <v>8</v>
      </c>
      <c r="J110" s="1">
        <v>6377</v>
      </c>
      <c r="K110" s="25" t="s">
        <v>1773</v>
      </c>
      <c r="L110" s="7">
        <f>EV[[#This Row],[Current_Debt]]/EV[[#This Row],[Monthly_Income]]</f>
        <v>0.12245799327892463</v>
      </c>
      <c r="M110" t="s">
        <v>1784</v>
      </c>
    </row>
    <row r="111" spans="1:13" x14ac:dyDescent="0.3">
      <c r="A111">
        <v>110</v>
      </c>
      <c r="B111" t="s">
        <v>1380</v>
      </c>
      <c r="C111">
        <v>63</v>
      </c>
      <c r="D111">
        <v>51321</v>
      </c>
      <c r="E111" s="1">
        <v>618104</v>
      </c>
      <c r="F111">
        <v>0.109</v>
      </c>
      <c r="G111">
        <v>25</v>
      </c>
      <c r="H111">
        <v>647</v>
      </c>
      <c r="I111">
        <v>1</v>
      </c>
      <c r="J111" s="1">
        <v>12575</v>
      </c>
      <c r="K111" s="24" t="s">
        <v>1773</v>
      </c>
      <c r="L111" s="7">
        <f>EV[[#This Row],[Current_Debt]]/EV[[#This Row],[Monthly_Income]]</f>
        <v>0.24502640244734125</v>
      </c>
      <c r="M111" t="s">
        <v>2291</v>
      </c>
    </row>
    <row r="112" spans="1:13" x14ac:dyDescent="0.3">
      <c r="A112">
        <v>111</v>
      </c>
      <c r="B112" t="s">
        <v>1381</v>
      </c>
      <c r="C112">
        <v>47</v>
      </c>
      <c r="D112">
        <v>56807</v>
      </c>
      <c r="E112" s="1">
        <v>1527226</v>
      </c>
      <c r="F112">
        <v>9.6000000000000002E-2</v>
      </c>
      <c r="G112">
        <v>30</v>
      </c>
      <c r="H112">
        <v>672</v>
      </c>
      <c r="I112">
        <v>0</v>
      </c>
      <c r="J112" s="1">
        <v>1429</v>
      </c>
      <c r="K112" s="24" t="s">
        <v>1772</v>
      </c>
      <c r="L112" s="7">
        <f>EV[[#This Row],[Current_Debt]]/EV[[#This Row],[Monthly_Income]]</f>
        <v>2.5155350572992764E-2</v>
      </c>
      <c r="M112" t="s">
        <v>2292</v>
      </c>
    </row>
    <row r="113" spans="1:13" x14ac:dyDescent="0.3">
      <c r="A113">
        <v>112</v>
      </c>
      <c r="B113" t="s">
        <v>1382</v>
      </c>
      <c r="C113">
        <v>33</v>
      </c>
      <c r="D113">
        <v>72853</v>
      </c>
      <c r="E113" s="1">
        <v>1013356</v>
      </c>
      <c r="F113">
        <v>0.11799999999999999</v>
      </c>
      <c r="G113">
        <v>25</v>
      </c>
      <c r="H113">
        <v>829</v>
      </c>
      <c r="I113">
        <v>8</v>
      </c>
      <c r="J113" s="1">
        <v>45002</v>
      </c>
      <c r="K113" s="24" t="s">
        <v>1772</v>
      </c>
      <c r="L113" s="7">
        <f>EV[[#This Row],[Current_Debt]]/EV[[#This Row],[Monthly_Income]]</f>
        <v>0.61770963446941096</v>
      </c>
      <c r="M113" t="s">
        <v>1786</v>
      </c>
    </row>
    <row r="114" spans="1:13" x14ac:dyDescent="0.3">
      <c r="A114">
        <v>113</v>
      </c>
      <c r="B114" t="s">
        <v>1383</v>
      </c>
      <c r="C114">
        <v>28</v>
      </c>
      <c r="D114">
        <v>80079</v>
      </c>
      <c r="E114" s="1">
        <v>627614</v>
      </c>
      <c r="F114">
        <v>8.6999999999999994E-2</v>
      </c>
      <c r="G114">
        <v>10</v>
      </c>
      <c r="H114">
        <v>740</v>
      </c>
      <c r="I114">
        <v>9</v>
      </c>
      <c r="J114" s="1">
        <v>4531</v>
      </c>
      <c r="K114" s="26" t="s">
        <v>1774</v>
      </c>
      <c r="L114" s="7">
        <f>EV[[#This Row],[Current_Debt]]/EV[[#This Row],[Monthly_Income]]</f>
        <v>5.6581625644675886E-2</v>
      </c>
      <c r="M114" t="s">
        <v>1785</v>
      </c>
    </row>
    <row r="115" spans="1:13" x14ac:dyDescent="0.3">
      <c r="A115">
        <v>114</v>
      </c>
      <c r="B115" t="s">
        <v>1384</v>
      </c>
      <c r="C115">
        <v>52</v>
      </c>
      <c r="D115">
        <v>89260</v>
      </c>
      <c r="E115" s="1">
        <v>845248</v>
      </c>
      <c r="F115">
        <v>9.0999999999999998E-2</v>
      </c>
      <c r="G115">
        <v>20</v>
      </c>
      <c r="H115">
        <v>740</v>
      </c>
      <c r="I115">
        <v>4</v>
      </c>
      <c r="J115" s="1">
        <v>10239</v>
      </c>
      <c r="K115" s="24" t="s">
        <v>1774</v>
      </c>
      <c r="L115" s="7">
        <f>EV[[#This Row],[Current_Debt]]/EV[[#This Row],[Monthly_Income]]</f>
        <v>0.11470983643289268</v>
      </c>
      <c r="M115" t="s">
        <v>1785</v>
      </c>
    </row>
    <row r="116" spans="1:13" x14ac:dyDescent="0.3">
      <c r="A116">
        <v>115</v>
      </c>
      <c r="B116" t="s">
        <v>1385</v>
      </c>
      <c r="C116">
        <v>51</v>
      </c>
      <c r="D116">
        <v>76994</v>
      </c>
      <c r="E116" s="1">
        <v>805323</v>
      </c>
      <c r="F116">
        <v>8.5999999999999993E-2</v>
      </c>
      <c r="G116">
        <v>10</v>
      </c>
      <c r="H116">
        <v>620</v>
      </c>
      <c r="I116">
        <v>8</v>
      </c>
      <c r="J116" s="1">
        <v>11596</v>
      </c>
      <c r="K116" s="24" t="s">
        <v>1773</v>
      </c>
      <c r="L116" s="7">
        <f>EV[[#This Row],[Current_Debt]]/EV[[#This Row],[Monthly_Income]]</f>
        <v>0.15060913837441878</v>
      </c>
      <c r="M116" t="s">
        <v>2291</v>
      </c>
    </row>
    <row r="117" spans="1:13" x14ac:dyDescent="0.3">
      <c r="A117">
        <v>116</v>
      </c>
      <c r="B117" t="s">
        <v>1386</v>
      </c>
      <c r="C117">
        <v>49</v>
      </c>
      <c r="D117">
        <v>109519</v>
      </c>
      <c r="E117" s="1">
        <v>1551762</v>
      </c>
      <c r="F117">
        <v>9.9000000000000005E-2</v>
      </c>
      <c r="G117">
        <v>20</v>
      </c>
      <c r="H117">
        <v>665</v>
      </c>
      <c r="I117">
        <v>13</v>
      </c>
      <c r="J117" s="1">
        <v>19189</v>
      </c>
      <c r="K117" s="24" t="s">
        <v>1772</v>
      </c>
      <c r="L117" s="7">
        <f>EV[[#This Row],[Current_Debt]]/EV[[#This Row],[Monthly_Income]]</f>
        <v>0.17521160711839956</v>
      </c>
      <c r="M117" t="s">
        <v>2292</v>
      </c>
    </row>
    <row r="118" spans="1:13" x14ac:dyDescent="0.3">
      <c r="A118">
        <v>117</v>
      </c>
      <c r="B118" t="s">
        <v>1387</v>
      </c>
      <c r="C118">
        <v>46</v>
      </c>
      <c r="D118">
        <v>76574</v>
      </c>
      <c r="E118" s="1">
        <v>785619</v>
      </c>
      <c r="F118">
        <v>0.108</v>
      </c>
      <c r="G118">
        <v>25</v>
      </c>
      <c r="H118">
        <v>743</v>
      </c>
      <c r="I118">
        <v>13</v>
      </c>
      <c r="J118" s="1">
        <v>30212</v>
      </c>
      <c r="K118" s="24" t="s">
        <v>1772</v>
      </c>
      <c r="L118" s="7">
        <f>EV[[#This Row],[Current_Debt]]/EV[[#This Row],[Monthly_Income]]</f>
        <v>0.39454645179826053</v>
      </c>
      <c r="M118" t="s">
        <v>1786</v>
      </c>
    </row>
    <row r="119" spans="1:13" x14ac:dyDescent="0.3">
      <c r="A119">
        <v>118</v>
      </c>
      <c r="B119" t="s">
        <v>1388</v>
      </c>
      <c r="C119">
        <v>43</v>
      </c>
      <c r="D119">
        <v>62041</v>
      </c>
      <c r="E119" s="1">
        <v>1253589</v>
      </c>
      <c r="F119">
        <v>8.2000000000000003E-2</v>
      </c>
      <c r="G119">
        <v>15</v>
      </c>
      <c r="H119">
        <v>850</v>
      </c>
      <c r="I119">
        <v>8</v>
      </c>
      <c r="J119" s="1">
        <v>14809</v>
      </c>
      <c r="K119" s="24" t="s">
        <v>1774</v>
      </c>
      <c r="L119" s="7">
        <f>EV[[#This Row],[Current_Debt]]/EV[[#This Row],[Monthly_Income]]</f>
        <v>0.23869699069969857</v>
      </c>
      <c r="M119" t="s">
        <v>1785</v>
      </c>
    </row>
    <row r="120" spans="1:13" x14ac:dyDescent="0.3">
      <c r="A120">
        <v>119</v>
      </c>
      <c r="B120" t="s">
        <v>1389</v>
      </c>
      <c r="C120">
        <v>44</v>
      </c>
      <c r="D120">
        <v>99950</v>
      </c>
      <c r="E120" s="1">
        <v>701560</v>
      </c>
      <c r="F120">
        <v>0.114</v>
      </c>
      <c r="G120">
        <v>20</v>
      </c>
      <c r="H120">
        <v>744</v>
      </c>
      <c r="I120">
        <v>12</v>
      </c>
      <c r="J120" s="1">
        <v>27352</v>
      </c>
      <c r="K120" s="24" t="s">
        <v>1772</v>
      </c>
      <c r="L120" s="7">
        <f>EV[[#This Row],[Current_Debt]]/EV[[#This Row],[Monthly_Income]]</f>
        <v>0.27365682841420708</v>
      </c>
      <c r="M120" t="s">
        <v>1786</v>
      </c>
    </row>
    <row r="121" spans="1:13" x14ac:dyDescent="0.3">
      <c r="A121">
        <v>120</v>
      </c>
      <c r="B121" t="s">
        <v>1390</v>
      </c>
      <c r="C121">
        <v>60</v>
      </c>
      <c r="D121">
        <v>34626</v>
      </c>
      <c r="E121" s="1">
        <v>925770</v>
      </c>
      <c r="F121">
        <v>0.104</v>
      </c>
      <c r="G121">
        <v>30</v>
      </c>
      <c r="H121">
        <v>832</v>
      </c>
      <c r="I121">
        <v>4</v>
      </c>
      <c r="J121" s="1">
        <v>14551</v>
      </c>
      <c r="K121" s="24" t="s">
        <v>1774</v>
      </c>
      <c r="L121" s="7">
        <f>EV[[#This Row],[Current_Debt]]/EV[[#This Row],[Monthly_Income]]</f>
        <v>0.42023335066135276</v>
      </c>
      <c r="M121" t="s">
        <v>1785</v>
      </c>
    </row>
    <row r="122" spans="1:13" x14ac:dyDescent="0.3">
      <c r="A122">
        <v>121</v>
      </c>
      <c r="B122" t="s">
        <v>1391</v>
      </c>
      <c r="C122">
        <v>23</v>
      </c>
      <c r="D122">
        <v>22233</v>
      </c>
      <c r="E122" s="1">
        <v>1921837</v>
      </c>
      <c r="F122">
        <v>0.1</v>
      </c>
      <c r="G122">
        <v>30</v>
      </c>
      <c r="H122">
        <v>804</v>
      </c>
      <c r="I122">
        <v>7</v>
      </c>
      <c r="J122" s="1">
        <v>46731</v>
      </c>
      <c r="K122" s="25" t="s">
        <v>1773</v>
      </c>
      <c r="L122" s="7">
        <f>EV[[#This Row],[Current_Debt]]/EV[[#This Row],[Monthly_Income]]</f>
        <v>2.1018755903386857</v>
      </c>
      <c r="M122" t="s">
        <v>1784</v>
      </c>
    </row>
    <row r="123" spans="1:13" x14ac:dyDescent="0.3">
      <c r="A123">
        <v>122</v>
      </c>
      <c r="B123" t="s">
        <v>1392</v>
      </c>
      <c r="C123">
        <v>50</v>
      </c>
      <c r="D123">
        <v>71761</v>
      </c>
      <c r="E123" s="1">
        <v>1076975</v>
      </c>
      <c r="F123">
        <v>0.108</v>
      </c>
      <c r="G123">
        <v>30</v>
      </c>
      <c r="H123">
        <v>635</v>
      </c>
      <c r="I123">
        <v>5</v>
      </c>
      <c r="J123" s="1">
        <v>41932</v>
      </c>
      <c r="K123" s="24" t="s">
        <v>1773</v>
      </c>
      <c r="L123" s="7">
        <f>EV[[#This Row],[Current_Debt]]/EV[[#This Row],[Monthly_Income]]</f>
        <v>0.58432853499811876</v>
      </c>
      <c r="M123" t="s">
        <v>2291</v>
      </c>
    </row>
    <row r="124" spans="1:13" x14ac:dyDescent="0.3">
      <c r="A124">
        <v>123</v>
      </c>
      <c r="B124" t="s">
        <v>1393</v>
      </c>
      <c r="C124">
        <v>42</v>
      </c>
      <c r="D124">
        <v>82173</v>
      </c>
      <c r="E124" s="1">
        <v>1296405</v>
      </c>
      <c r="F124">
        <v>9.6000000000000002E-2</v>
      </c>
      <c r="G124">
        <v>25</v>
      </c>
      <c r="H124">
        <v>816</v>
      </c>
      <c r="I124">
        <v>3</v>
      </c>
      <c r="J124" s="1">
        <v>48328</v>
      </c>
      <c r="K124" s="24" t="s">
        <v>1772</v>
      </c>
      <c r="L124" s="7">
        <f>EV[[#This Row],[Current_Debt]]/EV[[#This Row],[Monthly_Income]]</f>
        <v>0.58812505324133235</v>
      </c>
      <c r="M124" t="s">
        <v>1786</v>
      </c>
    </row>
    <row r="125" spans="1:13" x14ac:dyDescent="0.3">
      <c r="A125">
        <v>124</v>
      </c>
      <c r="B125" t="s">
        <v>1394</v>
      </c>
      <c r="C125">
        <v>46</v>
      </c>
      <c r="D125">
        <v>67053</v>
      </c>
      <c r="E125" s="1">
        <v>1833728</v>
      </c>
      <c r="F125">
        <v>8.5999999999999993E-2</v>
      </c>
      <c r="G125">
        <v>15</v>
      </c>
      <c r="H125">
        <v>719</v>
      </c>
      <c r="I125">
        <v>2</v>
      </c>
      <c r="J125" s="1">
        <v>47138</v>
      </c>
      <c r="K125" s="24" t="s">
        <v>1772</v>
      </c>
      <c r="L125" s="7">
        <f>EV[[#This Row],[Current_Debt]]/EV[[#This Row],[Monthly_Income]]</f>
        <v>0.70299613738386058</v>
      </c>
      <c r="M125" t="s">
        <v>1786</v>
      </c>
    </row>
    <row r="126" spans="1:13" x14ac:dyDescent="0.3">
      <c r="A126">
        <v>125</v>
      </c>
      <c r="B126" t="s">
        <v>1395</v>
      </c>
      <c r="C126">
        <v>58</v>
      </c>
      <c r="D126">
        <v>117742</v>
      </c>
      <c r="E126" s="1">
        <v>1721234</v>
      </c>
      <c r="F126">
        <v>0.09</v>
      </c>
      <c r="G126">
        <v>10</v>
      </c>
      <c r="H126">
        <v>728</v>
      </c>
      <c r="I126">
        <v>9</v>
      </c>
      <c r="J126" s="1">
        <v>26404</v>
      </c>
      <c r="K126" s="24" t="s">
        <v>1772</v>
      </c>
      <c r="L126" s="7">
        <f>EV[[#This Row],[Current_Debt]]/EV[[#This Row],[Monthly_Income]]</f>
        <v>0.22425302780656012</v>
      </c>
      <c r="M126" t="s">
        <v>1786</v>
      </c>
    </row>
    <row r="127" spans="1:13" x14ac:dyDescent="0.3">
      <c r="A127">
        <v>126</v>
      </c>
      <c r="B127" t="s">
        <v>1396</v>
      </c>
      <c r="C127">
        <v>25</v>
      </c>
      <c r="D127">
        <v>89891</v>
      </c>
      <c r="E127" s="1">
        <v>1043552</v>
      </c>
      <c r="F127">
        <v>9.0999999999999998E-2</v>
      </c>
      <c r="G127">
        <v>25</v>
      </c>
      <c r="H127">
        <v>636</v>
      </c>
      <c r="I127">
        <v>9</v>
      </c>
      <c r="J127" s="1">
        <v>29730</v>
      </c>
      <c r="K127" s="24" t="s">
        <v>1773</v>
      </c>
      <c r="L127" s="7">
        <f>EV[[#This Row],[Current_Debt]]/EV[[#This Row],[Monthly_Income]]</f>
        <v>0.33073388882090532</v>
      </c>
      <c r="M127" t="s">
        <v>2291</v>
      </c>
    </row>
    <row r="128" spans="1:13" x14ac:dyDescent="0.3">
      <c r="A128">
        <v>127</v>
      </c>
      <c r="B128" t="s">
        <v>1397</v>
      </c>
      <c r="C128">
        <v>21</v>
      </c>
      <c r="D128">
        <v>19662</v>
      </c>
      <c r="E128" s="1">
        <v>1939237</v>
      </c>
      <c r="F128">
        <v>8.5000000000000006E-2</v>
      </c>
      <c r="G128">
        <v>15</v>
      </c>
      <c r="H128">
        <v>635</v>
      </c>
      <c r="I128">
        <v>8</v>
      </c>
      <c r="J128" s="1">
        <v>28150</v>
      </c>
      <c r="K128" s="25" t="s">
        <v>1773</v>
      </c>
      <c r="L128" s="7">
        <f>EV[[#This Row],[Current_Debt]]/EV[[#This Row],[Monthly_Income]]</f>
        <v>1.4316956565964805</v>
      </c>
      <c r="M128" t="s">
        <v>1784</v>
      </c>
    </row>
    <row r="129" spans="1:13" x14ac:dyDescent="0.3">
      <c r="A129">
        <v>128</v>
      </c>
      <c r="B129" t="s">
        <v>1398</v>
      </c>
      <c r="C129">
        <v>25</v>
      </c>
      <c r="D129">
        <v>119108</v>
      </c>
      <c r="E129" s="1">
        <v>1562982</v>
      </c>
      <c r="F129">
        <v>8.5000000000000006E-2</v>
      </c>
      <c r="G129">
        <v>10</v>
      </c>
      <c r="H129">
        <v>829</v>
      </c>
      <c r="I129">
        <v>14</v>
      </c>
      <c r="J129" s="1">
        <v>37807</v>
      </c>
      <c r="K129" s="24" t="s">
        <v>1772</v>
      </c>
      <c r="L129" s="7">
        <f>EV[[#This Row],[Current_Debt]]/EV[[#This Row],[Monthly_Income]]</f>
        <v>0.31741780568895456</v>
      </c>
      <c r="M129" t="s">
        <v>1786</v>
      </c>
    </row>
    <row r="130" spans="1:13" x14ac:dyDescent="0.3">
      <c r="A130">
        <v>129</v>
      </c>
      <c r="B130" t="s">
        <v>1399</v>
      </c>
      <c r="C130">
        <v>50</v>
      </c>
      <c r="D130">
        <v>62929</v>
      </c>
      <c r="E130" s="1">
        <v>2181322</v>
      </c>
      <c r="F130">
        <v>0.105</v>
      </c>
      <c r="G130">
        <v>20</v>
      </c>
      <c r="H130">
        <v>849</v>
      </c>
      <c r="I130">
        <v>13</v>
      </c>
      <c r="J130" s="1">
        <v>35997</v>
      </c>
      <c r="K130" s="24" t="s">
        <v>1772</v>
      </c>
      <c r="L130" s="7">
        <f>EV[[#This Row],[Current_Debt]]/EV[[#This Row],[Monthly_Income]]</f>
        <v>0.57202561617060499</v>
      </c>
      <c r="M130" t="s">
        <v>1786</v>
      </c>
    </row>
    <row r="131" spans="1:13" x14ac:dyDescent="0.3">
      <c r="A131">
        <v>130</v>
      </c>
      <c r="B131" t="s">
        <v>1400</v>
      </c>
      <c r="C131">
        <v>45</v>
      </c>
      <c r="D131">
        <v>104540</v>
      </c>
      <c r="E131" s="1">
        <v>897042</v>
      </c>
      <c r="F131">
        <v>0.10299999999999999</v>
      </c>
      <c r="G131">
        <v>10</v>
      </c>
      <c r="H131">
        <v>631</v>
      </c>
      <c r="I131">
        <v>1</v>
      </c>
      <c r="J131" s="1">
        <v>12966</v>
      </c>
      <c r="K131" s="24" t="s">
        <v>1773</v>
      </c>
      <c r="L131" s="7">
        <f>EV[[#This Row],[Current_Debt]]/EV[[#This Row],[Monthly_Income]]</f>
        <v>0.12402907977807538</v>
      </c>
      <c r="M131" t="s">
        <v>2291</v>
      </c>
    </row>
    <row r="132" spans="1:13" x14ac:dyDescent="0.3">
      <c r="A132">
        <v>131</v>
      </c>
      <c r="B132" t="s">
        <v>1401</v>
      </c>
      <c r="C132">
        <v>40</v>
      </c>
      <c r="D132">
        <v>93469</v>
      </c>
      <c r="E132" s="1">
        <v>1332329</v>
      </c>
      <c r="F132">
        <v>0.1</v>
      </c>
      <c r="G132">
        <v>10</v>
      </c>
      <c r="H132">
        <v>703</v>
      </c>
      <c r="I132">
        <v>12</v>
      </c>
      <c r="J132" s="1">
        <v>24454</v>
      </c>
      <c r="K132" s="24" t="s">
        <v>1772</v>
      </c>
      <c r="L132" s="7">
        <f>EV[[#This Row],[Current_Debt]]/EV[[#This Row],[Monthly_Income]]</f>
        <v>0.26162684954369897</v>
      </c>
      <c r="M132" t="s">
        <v>1786</v>
      </c>
    </row>
    <row r="133" spans="1:13" x14ac:dyDescent="0.3">
      <c r="A133">
        <v>132</v>
      </c>
      <c r="B133" t="s">
        <v>1402</v>
      </c>
      <c r="C133">
        <v>46</v>
      </c>
      <c r="D133">
        <v>67083</v>
      </c>
      <c r="E133" s="1">
        <v>1725427</v>
      </c>
      <c r="F133">
        <v>0.09</v>
      </c>
      <c r="G133">
        <v>10</v>
      </c>
      <c r="H133">
        <v>824</v>
      </c>
      <c r="I133">
        <v>12</v>
      </c>
      <c r="J133" s="1">
        <v>616</v>
      </c>
      <c r="K133" s="26" t="s">
        <v>1774</v>
      </c>
      <c r="L133" s="7">
        <f>EV[[#This Row],[Current_Debt]]/EV[[#This Row],[Monthly_Income]]</f>
        <v>9.1826543237481933E-3</v>
      </c>
      <c r="M133" t="s">
        <v>1785</v>
      </c>
    </row>
    <row r="134" spans="1:13" x14ac:dyDescent="0.3">
      <c r="A134">
        <v>133</v>
      </c>
      <c r="B134" t="s">
        <v>1403</v>
      </c>
      <c r="C134">
        <v>36</v>
      </c>
      <c r="D134">
        <v>73122</v>
      </c>
      <c r="E134" s="1">
        <v>2344366</v>
      </c>
      <c r="F134">
        <v>8.6999999999999994E-2</v>
      </c>
      <c r="G134">
        <v>15</v>
      </c>
      <c r="H134">
        <v>842</v>
      </c>
      <c r="I134">
        <v>6</v>
      </c>
      <c r="J134" s="1">
        <v>24872</v>
      </c>
      <c r="K134" s="24" t="s">
        <v>1772</v>
      </c>
      <c r="L134" s="7">
        <f>EV[[#This Row],[Current_Debt]]/EV[[#This Row],[Monthly_Income]]</f>
        <v>0.34014386915018735</v>
      </c>
      <c r="M134" t="s">
        <v>1786</v>
      </c>
    </row>
    <row r="135" spans="1:13" x14ac:dyDescent="0.3">
      <c r="A135">
        <v>134</v>
      </c>
      <c r="B135" t="s">
        <v>1404</v>
      </c>
      <c r="C135">
        <v>55</v>
      </c>
      <c r="D135">
        <v>83108</v>
      </c>
      <c r="E135" s="1">
        <v>1297586</v>
      </c>
      <c r="F135">
        <v>0.11600000000000001</v>
      </c>
      <c r="G135">
        <v>10</v>
      </c>
      <c r="H135">
        <v>713</v>
      </c>
      <c r="I135">
        <v>13</v>
      </c>
      <c r="J135" s="1">
        <v>20324</v>
      </c>
      <c r="K135" s="24" t="s">
        <v>1772</v>
      </c>
      <c r="L135" s="7">
        <f>EV[[#This Row],[Current_Debt]]/EV[[#This Row],[Monthly_Income]]</f>
        <v>0.24454926120229101</v>
      </c>
      <c r="M135" t="s">
        <v>1786</v>
      </c>
    </row>
    <row r="136" spans="1:13" x14ac:dyDescent="0.3">
      <c r="A136">
        <v>135</v>
      </c>
      <c r="B136" t="s">
        <v>1405</v>
      </c>
      <c r="C136">
        <v>27</v>
      </c>
      <c r="D136">
        <v>98772</v>
      </c>
      <c r="E136" s="1">
        <v>1756656</v>
      </c>
      <c r="F136">
        <v>8.5999999999999993E-2</v>
      </c>
      <c r="G136">
        <v>20</v>
      </c>
      <c r="H136">
        <v>737</v>
      </c>
      <c r="I136">
        <v>8</v>
      </c>
      <c r="J136" s="1">
        <v>34863</v>
      </c>
      <c r="K136" s="24" t="s">
        <v>1772</v>
      </c>
      <c r="L136" s="7">
        <f>EV[[#This Row],[Current_Debt]]/EV[[#This Row],[Monthly_Income]]</f>
        <v>0.35296440286720931</v>
      </c>
      <c r="M136" t="s">
        <v>1786</v>
      </c>
    </row>
    <row r="137" spans="1:13" x14ac:dyDescent="0.3">
      <c r="A137">
        <v>136</v>
      </c>
      <c r="B137" t="s">
        <v>1406</v>
      </c>
      <c r="C137">
        <v>39</v>
      </c>
      <c r="D137">
        <v>20071</v>
      </c>
      <c r="E137" s="1">
        <v>896232</v>
      </c>
      <c r="F137">
        <v>0.11</v>
      </c>
      <c r="G137">
        <v>10</v>
      </c>
      <c r="H137">
        <v>661</v>
      </c>
      <c r="I137">
        <v>12</v>
      </c>
      <c r="J137" s="1">
        <v>7</v>
      </c>
      <c r="K137" s="24" t="s">
        <v>1772</v>
      </c>
      <c r="L137" s="7">
        <f>EV[[#This Row],[Current_Debt]]/EV[[#This Row],[Monthly_Income]]</f>
        <v>3.4876189527178515E-4</v>
      </c>
      <c r="M137" t="s">
        <v>2292</v>
      </c>
    </row>
    <row r="138" spans="1:13" x14ac:dyDescent="0.3">
      <c r="A138">
        <v>137</v>
      </c>
      <c r="B138" t="s">
        <v>1407</v>
      </c>
      <c r="C138">
        <v>42</v>
      </c>
      <c r="D138">
        <v>82993</v>
      </c>
      <c r="E138" s="1">
        <v>1067689</v>
      </c>
      <c r="F138">
        <v>9.6000000000000002E-2</v>
      </c>
      <c r="G138">
        <v>10</v>
      </c>
      <c r="H138">
        <v>652</v>
      </c>
      <c r="I138">
        <v>14</v>
      </c>
      <c r="J138" s="1">
        <v>11528</v>
      </c>
      <c r="K138" s="24" t="s">
        <v>1772</v>
      </c>
      <c r="L138" s="7">
        <f>EV[[#This Row],[Current_Debt]]/EV[[#This Row],[Monthly_Income]]</f>
        <v>0.13890328099960236</v>
      </c>
      <c r="M138" t="s">
        <v>2292</v>
      </c>
    </row>
    <row r="139" spans="1:13" x14ac:dyDescent="0.3">
      <c r="A139">
        <v>138</v>
      </c>
      <c r="B139" t="s">
        <v>1408</v>
      </c>
      <c r="C139">
        <v>56</v>
      </c>
      <c r="D139">
        <v>47930</v>
      </c>
      <c r="E139" s="1">
        <v>1771467</v>
      </c>
      <c r="F139">
        <v>0.09</v>
      </c>
      <c r="G139">
        <v>25</v>
      </c>
      <c r="H139">
        <v>825</v>
      </c>
      <c r="I139">
        <v>8</v>
      </c>
      <c r="J139" s="1">
        <v>41944</v>
      </c>
      <c r="K139" s="24" t="s">
        <v>1772</v>
      </c>
      <c r="L139" s="7">
        <f>EV[[#This Row],[Current_Debt]]/EV[[#This Row],[Monthly_Income]]</f>
        <v>0.87510953473815978</v>
      </c>
      <c r="M139" t="s">
        <v>1786</v>
      </c>
    </row>
    <row r="140" spans="1:13" x14ac:dyDescent="0.3">
      <c r="A140">
        <v>139</v>
      </c>
      <c r="B140" t="s">
        <v>1409</v>
      </c>
      <c r="C140">
        <v>26</v>
      </c>
      <c r="D140">
        <v>42978</v>
      </c>
      <c r="E140" s="1">
        <v>862030</v>
      </c>
      <c r="F140">
        <v>8.3000000000000004E-2</v>
      </c>
      <c r="G140">
        <v>15</v>
      </c>
      <c r="H140">
        <v>659</v>
      </c>
      <c r="I140">
        <v>9</v>
      </c>
      <c r="J140" s="1">
        <v>303</v>
      </c>
      <c r="K140" s="24" t="s">
        <v>1772</v>
      </c>
      <c r="L140" s="7">
        <f>EV[[#This Row],[Current_Debt]]/EV[[#This Row],[Monthly_Income]]</f>
        <v>7.0501186653636741E-3</v>
      </c>
      <c r="M140" t="s">
        <v>2292</v>
      </c>
    </row>
    <row r="141" spans="1:13" x14ac:dyDescent="0.3">
      <c r="A141">
        <v>140</v>
      </c>
      <c r="B141" t="s">
        <v>1410</v>
      </c>
      <c r="C141">
        <v>21</v>
      </c>
      <c r="D141">
        <v>107104</v>
      </c>
      <c r="E141" s="1">
        <v>2178152</v>
      </c>
      <c r="F141">
        <v>8.3000000000000004E-2</v>
      </c>
      <c r="G141">
        <v>10</v>
      </c>
      <c r="H141">
        <v>696</v>
      </c>
      <c r="I141">
        <v>1</v>
      </c>
      <c r="J141" s="1">
        <v>42390</v>
      </c>
      <c r="K141" s="25" t="s">
        <v>1773</v>
      </c>
      <c r="L141" s="7">
        <f>EV[[#This Row],[Current_Debt]]/EV[[#This Row],[Monthly_Income]]</f>
        <v>0.39578353749626533</v>
      </c>
      <c r="M141" t="s">
        <v>1784</v>
      </c>
    </row>
    <row r="142" spans="1:13" x14ac:dyDescent="0.3">
      <c r="A142">
        <v>141</v>
      </c>
      <c r="B142" t="s">
        <v>1411</v>
      </c>
      <c r="C142">
        <v>53</v>
      </c>
      <c r="D142">
        <v>54074</v>
      </c>
      <c r="E142" s="1">
        <v>2453596</v>
      </c>
      <c r="F142">
        <v>0.108</v>
      </c>
      <c r="G142">
        <v>10</v>
      </c>
      <c r="H142">
        <v>718</v>
      </c>
      <c r="I142">
        <v>2</v>
      </c>
      <c r="J142" s="1">
        <v>12798</v>
      </c>
      <c r="K142" s="24" t="s">
        <v>1774</v>
      </c>
      <c r="L142" s="7">
        <f>EV[[#This Row],[Current_Debt]]/EV[[#This Row],[Monthly_Income]]</f>
        <v>0.23667566667899545</v>
      </c>
      <c r="M142" t="s">
        <v>1785</v>
      </c>
    </row>
    <row r="143" spans="1:13" x14ac:dyDescent="0.3">
      <c r="A143">
        <v>142</v>
      </c>
      <c r="B143" t="s">
        <v>1412</v>
      </c>
      <c r="C143">
        <v>44</v>
      </c>
      <c r="D143">
        <v>85141</v>
      </c>
      <c r="E143" s="1">
        <v>1190375</v>
      </c>
      <c r="F143">
        <v>0.105</v>
      </c>
      <c r="G143">
        <v>30</v>
      </c>
      <c r="H143">
        <v>839</v>
      </c>
      <c r="I143">
        <v>1</v>
      </c>
      <c r="J143" s="1">
        <v>3267</v>
      </c>
      <c r="K143" s="24" t="s">
        <v>1772</v>
      </c>
      <c r="L143" s="7">
        <f>EV[[#This Row],[Current_Debt]]/EV[[#This Row],[Monthly_Income]]</f>
        <v>3.8371642334480448E-2</v>
      </c>
      <c r="M143" t="s">
        <v>1786</v>
      </c>
    </row>
    <row r="144" spans="1:13" x14ac:dyDescent="0.3">
      <c r="A144">
        <v>143</v>
      </c>
      <c r="B144" t="s">
        <v>1413</v>
      </c>
      <c r="C144">
        <v>48</v>
      </c>
      <c r="D144">
        <v>99875</v>
      </c>
      <c r="E144" s="1">
        <v>2390383</v>
      </c>
      <c r="F144">
        <v>9.8000000000000004E-2</v>
      </c>
      <c r="G144">
        <v>25</v>
      </c>
      <c r="H144">
        <v>612</v>
      </c>
      <c r="I144">
        <v>9</v>
      </c>
      <c r="J144" s="1">
        <v>24149</v>
      </c>
      <c r="K144" s="24" t="s">
        <v>1773</v>
      </c>
      <c r="L144" s="7">
        <f>EV[[#This Row],[Current_Debt]]/EV[[#This Row],[Monthly_Income]]</f>
        <v>0.24179224030037547</v>
      </c>
      <c r="M144" t="s">
        <v>2291</v>
      </c>
    </row>
    <row r="145" spans="1:13" x14ac:dyDescent="0.3">
      <c r="A145">
        <v>144</v>
      </c>
      <c r="B145" t="s">
        <v>1414</v>
      </c>
      <c r="C145">
        <v>22</v>
      </c>
      <c r="D145">
        <v>78646</v>
      </c>
      <c r="E145" s="1">
        <v>1214276</v>
      </c>
      <c r="F145">
        <v>9.2999999999999999E-2</v>
      </c>
      <c r="G145">
        <v>25</v>
      </c>
      <c r="H145">
        <v>644</v>
      </c>
      <c r="I145">
        <v>6</v>
      </c>
      <c r="J145" s="1">
        <v>18775</v>
      </c>
      <c r="K145" s="25" t="s">
        <v>1773</v>
      </c>
      <c r="L145" s="7">
        <f>EV[[#This Row],[Current_Debt]]/EV[[#This Row],[Monthly_Income]]</f>
        <v>0.23872797090761133</v>
      </c>
      <c r="M145" t="s">
        <v>1784</v>
      </c>
    </row>
    <row r="146" spans="1:13" x14ac:dyDescent="0.3">
      <c r="A146">
        <v>145</v>
      </c>
      <c r="B146" t="s">
        <v>1415</v>
      </c>
      <c r="C146">
        <v>21</v>
      </c>
      <c r="D146">
        <v>22086</v>
      </c>
      <c r="E146" s="1">
        <v>947456</v>
      </c>
      <c r="F146">
        <v>0.10100000000000001</v>
      </c>
      <c r="G146">
        <v>10</v>
      </c>
      <c r="H146">
        <v>822</v>
      </c>
      <c r="I146">
        <v>3</v>
      </c>
      <c r="J146" s="1">
        <v>36850</v>
      </c>
      <c r="K146" s="25" t="s">
        <v>1773</v>
      </c>
      <c r="L146" s="7">
        <f>EV[[#This Row],[Current_Debt]]/EV[[#This Row],[Monthly_Income]]</f>
        <v>1.6684777687222676</v>
      </c>
      <c r="M146" t="s">
        <v>1784</v>
      </c>
    </row>
    <row r="147" spans="1:13" x14ac:dyDescent="0.3">
      <c r="A147">
        <v>146</v>
      </c>
      <c r="B147" t="s">
        <v>1416</v>
      </c>
      <c r="C147">
        <v>61</v>
      </c>
      <c r="D147">
        <v>108922</v>
      </c>
      <c r="E147" s="1">
        <v>1508067</v>
      </c>
      <c r="F147">
        <v>0.10199999999999999</v>
      </c>
      <c r="G147">
        <v>15</v>
      </c>
      <c r="H147">
        <v>689</v>
      </c>
      <c r="I147">
        <v>10</v>
      </c>
      <c r="J147" s="1">
        <v>29901</v>
      </c>
      <c r="K147" s="24" t="s">
        <v>1772</v>
      </c>
      <c r="L147" s="7">
        <f>EV[[#This Row],[Current_Debt]]/EV[[#This Row],[Monthly_Income]]</f>
        <v>0.27451754466498962</v>
      </c>
      <c r="M147" t="s">
        <v>1786</v>
      </c>
    </row>
    <row r="148" spans="1:13" x14ac:dyDescent="0.3">
      <c r="A148">
        <v>147</v>
      </c>
      <c r="B148" t="s">
        <v>1417</v>
      </c>
      <c r="C148">
        <v>55</v>
      </c>
      <c r="D148">
        <v>105397</v>
      </c>
      <c r="E148" s="1">
        <v>1728769</v>
      </c>
      <c r="F148">
        <v>0.108</v>
      </c>
      <c r="G148">
        <v>15</v>
      </c>
      <c r="H148">
        <v>759</v>
      </c>
      <c r="I148">
        <v>1</v>
      </c>
      <c r="J148" s="1">
        <v>29438</v>
      </c>
      <c r="K148" s="24" t="s">
        <v>1772</v>
      </c>
      <c r="L148" s="7">
        <f>EV[[#This Row],[Current_Debt]]/EV[[#This Row],[Monthly_Income]]</f>
        <v>0.27930586259570955</v>
      </c>
      <c r="M148" t="s">
        <v>1786</v>
      </c>
    </row>
    <row r="149" spans="1:13" x14ac:dyDescent="0.3">
      <c r="A149">
        <v>148</v>
      </c>
      <c r="B149" t="s">
        <v>1418</v>
      </c>
      <c r="C149">
        <v>28</v>
      </c>
      <c r="D149">
        <v>28543</v>
      </c>
      <c r="E149" s="1">
        <v>1534254</v>
      </c>
      <c r="F149">
        <v>8.5999999999999993E-2</v>
      </c>
      <c r="G149">
        <v>20</v>
      </c>
      <c r="H149">
        <v>661</v>
      </c>
      <c r="I149">
        <v>7</v>
      </c>
      <c r="J149" s="1">
        <v>37173</v>
      </c>
      <c r="K149" s="24" t="s">
        <v>1772</v>
      </c>
      <c r="L149" s="7">
        <f>EV[[#This Row],[Current_Debt]]/EV[[#This Row],[Monthly_Income]]</f>
        <v>1.3023508390848895</v>
      </c>
      <c r="M149" t="s">
        <v>2292</v>
      </c>
    </row>
    <row r="150" spans="1:13" x14ac:dyDescent="0.3">
      <c r="A150">
        <v>149</v>
      </c>
      <c r="B150" t="s">
        <v>1419</v>
      </c>
      <c r="C150">
        <v>25</v>
      </c>
      <c r="D150">
        <v>49309</v>
      </c>
      <c r="E150" s="1">
        <v>2237806</v>
      </c>
      <c r="F150">
        <v>9.8000000000000004E-2</v>
      </c>
      <c r="G150">
        <v>25</v>
      </c>
      <c r="H150">
        <v>658</v>
      </c>
      <c r="I150">
        <v>6</v>
      </c>
      <c r="J150" s="1">
        <v>71</v>
      </c>
      <c r="K150" s="24" t="s">
        <v>1772</v>
      </c>
      <c r="L150" s="7">
        <f>EV[[#This Row],[Current_Debt]]/EV[[#This Row],[Monthly_Income]]</f>
        <v>1.4398994098440447E-3</v>
      </c>
      <c r="M150" t="s">
        <v>2292</v>
      </c>
    </row>
    <row r="151" spans="1:13" x14ac:dyDescent="0.3">
      <c r="A151">
        <v>150</v>
      </c>
      <c r="B151" t="s">
        <v>1420</v>
      </c>
      <c r="C151">
        <v>60</v>
      </c>
      <c r="D151">
        <v>66183</v>
      </c>
      <c r="E151" s="1">
        <v>2251253</v>
      </c>
      <c r="F151">
        <v>9.8000000000000004E-2</v>
      </c>
      <c r="G151">
        <v>30</v>
      </c>
      <c r="H151">
        <v>734</v>
      </c>
      <c r="I151">
        <v>14</v>
      </c>
      <c r="J151" s="1">
        <v>6261</v>
      </c>
      <c r="K151" s="26" t="s">
        <v>1774</v>
      </c>
      <c r="L151" s="7">
        <f>EV[[#This Row],[Current_Debt]]/EV[[#This Row],[Monthly_Income]]</f>
        <v>9.4601332668510035E-2</v>
      </c>
      <c r="M151" t="s">
        <v>1785</v>
      </c>
    </row>
    <row r="152" spans="1:13" x14ac:dyDescent="0.3">
      <c r="A152">
        <v>151</v>
      </c>
      <c r="B152" t="s">
        <v>1421</v>
      </c>
      <c r="C152">
        <v>34</v>
      </c>
      <c r="D152">
        <v>41040</v>
      </c>
      <c r="E152" s="1">
        <v>2311648</v>
      </c>
      <c r="F152">
        <v>0.09</v>
      </c>
      <c r="G152">
        <v>30</v>
      </c>
      <c r="H152">
        <v>781</v>
      </c>
      <c r="I152">
        <v>12</v>
      </c>
      <c r="J152" s="1">
        <v>19527</v>
      </c>
      <c r="K152" s="24" t="s">
        <v>1772</v>
      </c>
      <c r="L152" s="7">
        <f>EV[[#This Row],[Current_Debt]]/EV[[#This Row],[Monthly_Income]]</f>
        <v>0.47580409356725145</v>
      </c>
      <c r="M152" t="s">
        <v>1786</v>
      </c>
    </row>
    <row r="153" spans="1:13" x14ac:dyDescent="0.3">
      <c r="A153">
        <v>152</v>
      </c>
      <c r="B153" t="s">
        <v>1422</v>
      </c>
      <c r="C153">
        <v>57</v>
      </c>
      <c r="D153">
        <v>67658</v>
      </c>
      <c r="E153" s="1">
        <v>1114414</v>
      </c>
      <c r="F153">
        <v>0.108</v>
      </c>
      <c r="G153">
        <v>30</v>
      </c>
      <c r="H153">
        <v>733</v>
      </c>
      <c r="I153">
        <v>8</v>
      </c>
      <c r="J153" s="1">
        <v>11256</v>
      </c>
      <c r="K153" s="24" t="s">
        <v>1774</v>
      </c>
      <c r="L153" s="7">
        <f>EV[[#This Row],[Current_Debt]]/EV[[#This Row],[Monthly_Income]]</f>
        <v>0.16636613556416094</v>
      </c>
      <c r="M153" t="s">
        <v>1785</v>
      </c>
    </row>
    <row r="154" spans="1:13" x14ac:dyDescent="0.3">
      <c r="A154">
        <v>153</v>
      </c>
      <c r="B154" t="s">
        <v>1423</v>
      </c>
      <c r="C154">
        <v>60</v>
      </c>
      <c r="D154">
        <v>67384</v>
      </c>
      <c r="E154" s="1">
        <v>1626078</v>
      </c>
      <c r="F154">
        <v>9.7000000000000003E-2</v>
      </c>
      <c r="G154">
        <v>20</v>
      </c>
      <c r="H154">
        <v>779</v>
      </c>
      <c r="I154">
        <v>8</v>
      </c>
      <c r="J154" s="1">
        <v>379</v>
      </c>
      <c r="K154" s="26" t="s">
        <v>1774</v>
      </c>
      <c r="L154" s="7">
        <f>EV[[#This Row],[Current_Debt]]/EV[[#This Row],[Monthly_Income]]</f>
        <v>5.6244805888638252E-3</v>
      </c>
      <c r="M154" t="s">
        <v>1785</v>
      </c>
    </row>
    <row r="155" spans="1:13" x14ac:dyDescent="0.3">
      <c r="A155">
        <v>154</v>
      </c>
      <c r="B155" t="s">
        <v>1424</v>
      </c>
      <c r="C155">
        <v>43</v>
      </c>
      <c r="D155">
        <v>20227</v>
      </c>
      <c r="E155" s="1">
        <v>920891</v>
      </c>
      <c r="F155">
        <v>8.3000000000000004E-2</v>
      </c>
      <c r="G155">
        <v>15</v>
      </c>
      <c r="H155">
        <v>647</v>
      </c>
      <c r="I155">
        <v>13</v>
      </c>
      <c r="J155" s="1">
        <v>40724</v>
      </c>
      <c r="K155" s="24" t="s">
        <v>1773</v>
      </c>
      <c r="L155" s="7">
        <f>EV[[#This Row],[Current_Debt]]/EV[[#This Row],[Monthly_Income]]</f>
        <v>2.0133484945864439</v>
      </c>
      <c r="M155" t="s">
        <v>2291</v>
      </c>
    </row>
    <row r="156" spans="1:13" x14ac:dyDescent="0.3">
      <c r="A156">
        <v>155</v>
      </c>
      <c r="B156" t="s">
        <v>1425</v>
      </c>
      <c r="C156">
        <v>24</v>
      </c>
      <c r="D156">
        <v>53852</v>
      </c>
      <c r="E156" s="1">
        <v>2340445</v>
      </c>
      <c r="F156">
        <v>9.1999999999999998E-2</v>
      </c>
      <c r="G156">
        <v>20</v>
      </c>
      <c r="H156">
        <v>844</v>
      </c>
      <c r="I156">
        <v>4</v>
      </c>
      <c r="J156" s="1">
        <v>31286</v>
      </c>
      <c r="K156" s="25" t="s">
        <v>1773</v>
      </c>
      <c r="L156" s="7">
        <f>EV[[#This Row],[Current_Debt]]/EV[[#This Row],[Monthly_Income]]</f>
        <v>0.58096263834212281</v>
      </c>
      <c r="M156" t="s">
        <v>1784</v>
      </c>
    </row>
    <row r="157" spans="1:13" x14ac:dyDescent="0.3">
      <c r="A157">
        <v>156</v>
      </c>
      <c r="B157" t="s">
        <v>1426</v>
      </c>
      <c r="C157">
        <v>44</v>
      </c>
      <c r="D157">
        <v>63869</v>
      </c>
      <c r="E157" s="1">
        <v>883994</v>
      </c>
      <c r="F157">
        <v>0.113</v>
      </c>
      <c r="G157">
        <v>15</v>
      </c>
      <c r="H157">
        <v>692</v>
      </c>
      <c r="I157">
        <v>15</v>
      </c>
      <c r="J157" s="1">
        <v>37401</v>
      </c>
      <c r="K157" s="24" t="s">
        <v>1772</v>
      </c>
      <c r="L157" s="7">
        <f>EV[[#This Row],[Current_Debt]]/EV[[#This Row],[Monthly_Income]]</f>
        <v>0.58558925300223896</v>
      </c>
      <c r="M157" t="s">
        <v>1786</v>
      </c>
    </row>
    <row r="158" spans="1:13" x14ac:dyDescent="0.3">
      <c r="A158">
        <v>157</v>
      </c>
      <c r="B158" t="s">
        <v>1427</v>
      </c>
      <c r="C158">
        <v>46</v>
      </c>
      <c r="D158">
        <v>70406</v>
      </c>
      <c r="E158" s="1">
        <v>1961890</v>
      </c>
      <c r="F158">
        <v>9.2999999999999999E-2</v>
      </c>
      <c r="G158">
        <v>10</v>
      </c>
      <c r="H158">
        <v>734</v>
      </c>
      <c r="I158">
        <v>9</v>
      </c>
      <c r="J158" s="1">
        <v>22838</v>
      </c>
      <c r="K158" s="24" t="s">
        <v>1772</v>
      </c>
      <c r="L158" s="7">
        <f>EV[[#This Row],[Current_Debt]]/EV[[#This Row],[Monthly_Income]]</f>
        <v>0.32437576342925317</v>
      </c>
      <c r="M158" t="s">
        <v>1786</v>
      </c>
    </row>
    <row r="159" spans="1:13" x14ac:dyDescent="0.3">
      <c r="A159">
        <v>158</v>
      </c>
      <c r="B159" t="s">
        <v>1428</v>
      </c>
      <c r="C159">
        <v>43</v>
      </c>
      <c r="D159">
        <v>49239</v>
      </c>
      <c r="E159" s="1">
        <v>2090679</v>
      </c>
      <c r="F159">
        <v>9.1999999999999998E-2</v>
      </c>
      <c r="G159">
        <v>10</v>
      </c>
      <c r="H159">
        <v>714</v>
      </c>
      <c r="I159">
        <v>2</v>
      </c>
      <c r="J159" s="1">
        <v>24349</v>
      </c>
      <c r="K159" s="24" t="s">
        <v>1772</v>
      </c>
      <c r="L159" s="7">
        <f>EV[[#This Row],[Current_Debt]]/EV[[#This Row],[Monthly_Income]]</f>
        <v>0.49450638721338774</v>
      </c>
      <c r="M159" t="s">
        <v>1786</v>
      </c>
    </row>
    <row r="160" spans="1:13" x14ac:dyDescent="0.3">
      <c r="A160">
        <v>159</v>
      </c>
      <c r="B160" t="s">
        <v>1429</v>
      </c>
      <c r="C160">
        <v>56</v>
      </c>
      <c r="D160">
        <v>93992</v>
      </c>
      <c r="E160" s="1">
        <v>1969235</v>
      </c>
      <c r="F160">
        <v>8.7999999999999995E-2</v>
      </c>
      <c r="G160">
        <v>30</v>
      </c>
      <c r="H160">
        <v>625</v>
      </c>
      <c r="I160">
        <v>9</v>
      </c>
      <c r="J160" s="1">
        <v>29031</v>
      </c>
      <c r="K160" s="24" t="s">
        <v>1773</v>
      </c>
      <c r="L160" s="7">
        <f>EV[[#This Row],[Current_Debt]]/EV[[#This Row],[Monthly_Income]]</f>
        <v>0.3088667120606009</v>
      </c>
      <c r="M160" t="s">
        <v>2291</v>
      </c>
    </row>
    <row r="161" spans="1:13" x14ac:dyDescent="0.3">
      <c r="A161">
        <v>160</v>
      </c>
      <c r="B161" t="s">
        <v>1430</v>
      </c>
      <c r="C161">
        <v>40</v>
      </c>
      <c r="D161">
        <v>74884</v>
      </c>
      <c r="E161" s="1">
        <v>1770711</v>
      </c>
      <c r="F161">
        <v>0.11</v>
      </c>
      <c r="G161">
        <v>25</v>
      </c>
      <c r="H161">
        <v>702</v>
      </c>
      <c r="I161">
        <v>8</v>
      </c>
      <c r="J161" s="1">
        <v>20267</v>
      </c>
      <c r="K161" s="24" t="s">
        <v>1772</v>
      </c>
      <c r="L161" s="7">
        <f>EV[[#This Row],[Current_Debt]]/EV[[#This Row],[Monthly_Income]]</f>
        <v>0.27064526467603228</v>
      </c>
      <c r="M161" t="s">
        <v>1786</v>
      </c>
    </row>
    <row r="162" spans="1:13" x14ac:dyDescent="0.3">
      <c r="A162">
        <v>161</v>
      </c>
      <c r="B162" t="s">
        <v>1431</v>
      </c>
      <c r="C162">
        <v>49</v>
      </c>
      <c r="D162">
        <v>92698</v>
      </c>
      <c r="E162" s="1">
        <v>1149128</v>
      </c>
      <c r="F162">
        <v>8.4000000000000005E-2</v>
      </c>
      <c r="G162">
        <v>30</v>
      </c>
      <c r="H162">
        <v>666</v>
      </c>
      <c r="I162">
        <v>10</v>
      </c>
      <c r="J162" s="1">
        <v>16097</v>
      </c>
      <c r="K162" s="24" t="s">
        <v>1772</v>
      </c>
      <c r="L162" s="7">
        <f>EV[[#This Row],[Current_Debt]]/EV[[#This Row],[Monthly_Income]]</f>
        <v>0.17364991693456169</v>
      </c>
      <c r="M162" t="s">
        <v>2292</v>
      </c>
    </row>
    <row r="163" spans="1:13" x14ac:dyDescent="0.3">
      <c r="A163">
        <v>162</v>
      </c>
      <c r="B163" t="s">
        <v>1432</v>
      </c>
      <c r="C163">
        <v>24</v>
      </c>
      <c r="D163">
        <v>51535</v>
      </c>
      <c r="E163" s="1">
        <v>784390</v>
      </c>
      <c r="F163">
        <v>0.109</v>
      </c>
      <c r="G163">
        <v>20</v>
      </c>
      <c r="H163">
        <v>728</v>
      </c>
      <c r="I163">
        <v>6</v>
      </c>
      <c r="J163" s="1">
        <v>43273</v>
      </c>
      <c r="K163" s="25" t="s">
        <v>1773</v>
      </c>
      <c r="L163" s="7">
        <f>EV[[#This Row],[Current_Debt]]/EV[[#This Row],[Monthly_Income]]</f>
        <v>0.83968176967109731</v>
      </c>
      <c r="M163" t="s">
        <v>1784</v>
      </c>
    </row>
    <row r="164" spans="1:13" x14ac:dyDescent="0.3">
      <c r="A164">
        <v>163</v>
      </c>
      <c r="B164" t="s">
        <v>1433</v>
      </c>
      <c r="C164">
        <v>50</v>
      </c>
      <c r="D164">
        <v>114217</v>
      </c>
      <c r="E164" s="1">
        <v>911189</v>
      </c>
      <c r="F164">
        <v>8.4000000000000005E-2</v>
      </c>
      <c r="G164">
        <v>10</v>
      </c>
      <c r="H164">
        <v>671</v>
      </c>
      <c r="I164">
        <v>9</v>
      </c>
      <c r="J164" s="1">
        <v>1210</v>
      </c>
      <c r="K164" s="24" t="s">
        <v>1772</v>
      </c>
      <c r="L164" s="7">
        <f>EV[[#This Row],[Current_Debt]]/EV[[#This Row],[Monthly_Income]]</f>
        <v>1.05938695640754E-2</v>
      </c>
      <c r="M164" t="s">
        <v>2292</v>
      </c>
    </row>
    <row r="165" spans="1:13" x14ac:dyDescent="0.3">
      <c r="A165">
        <v>164</v>
      </c>
      <c r="B165" t="s">
        <v>1434</v>
      </c>
      <c r="C165">
        <v>33</v>
      </c>
      <c r="D165">
        <v>102450</v>
      </c>
      <c r="E165" s="1">
        <v>1561656</v>
      </c>
      <c r="F165">
        <v>9.7000000000000003E-2</v>
      </c>
      <c r="G165">
        <v>20</v>
      </c>
      <c r="H165">
        <v>764</v>
      </c>
      <c r="I165">
        <v>6</v>
      </c>
      <c r="J165" s="1">
        <v>31896</v>
      </c>
      <c r="K165" s="24" t="s">
        <v>1772</v>
      </c>
      <c r="L165" s="7">
        <f>EV[[#This Row],[Current_Debt]]/EV[[#This Row],[Monthly_Income]]</f>
        <v>0.3113323572474378</v>
      </c>
      <c r="M165" t="s">
        <v>1786</v>
      </c>
    </row>
    <row r="166" spans="1:13" x14ac:dyDescent="0.3">
      <c r="A166">
        <v>165</v>
      </c>
      <c r="B166" t="s">
        <v>1435</v>
      </c>
      <c r="C166">
        <v>28</v>
      </c>
      <c r="D166">
        <v>70535</v>
      </c>
      <c r="E166" s="1">
        <v>1267767</v>
      </c>
      <c r="F166">
        <v>0.113</v>
      </c>
      <c r="G166">
        <v>20</v>
      </c>
      <c r="H166">
        <v>604</v>
      </c>
      <c r="I166">
        <v>14</v>
      </c>
      <c r="J166" s="1">
        <v>40283</v>
      </c>
      <c r="K166" s="24" t="s">
        <v>1773</v>
      </c>
      <c r="L166" s="7">
        <f>EV[[#This Row],[Current_Debt]]/EV[[#This Row],[Monthly_Income]]</f>
        <v>0.57110654285106688</v>
      </c>
      <c r="M166" t="s">
        <v>2291</v>
      </c>
    </row>
    <row r="167" spans="1:13" x14ac:dyDescent="0.3">
      <c r="A167">
        <v>166</v>
      </c>
      <c r="B167" t="s">
        <v>1436</v>
      </c>
      <c r="C167">
        <v>30</v>
      </c>
      <c r="D167">
        <v>109917</v>
      </c>
      <c r="E167" s="1">
        <v>1885732</v>
      </c>
      <c r="F167">
        <v>0.10199999999999999</v>
      </c>
      <c r="G167">
        <v>25</v>
      </c>
      <c r="H167">
        <v>608</v>
      </c>
      <c r="I167">
        <v>3</v>
      </c>
      <c r="J167" s="1">
        <v>15762</v>
      </c>
      <c r="K167" s="24" t="s">
        <v>1773</v>
      </c>
      <c r="L167" s="7">
        <f>EV[[#This Row],[Current_Debt]]/EV[[#This Row],[Monthly_Income]]</f>
        <v>0.14339911023772484</v>
      </c>
      <c r="M167" t="s">
        <v>2291</v>
      </c>
    </row>
    <row r="168" spans="1:13" x14ac:dyDescent="0.3">
      <c r="A168">
        <v>167</v>
      </c>
      <c r="B168" t="s">
        <v>1437</v>
      </c>
      <c r="C168">
        <v>40</v>
      </c>
      <c r="D168">
        <v>102239</v>
      </c>
      <c r="E168" s="1">
        <v>950237</v>
      </c>
      <c r="F168">
        <v>0.11700000000000001</v>
      </c>
      <c r="G168">
        <v>20</v>
      </c>
      <c r="H168">
        <v>749</v>
      </c>
      <c r="I168">
        <v>0</v>
      </c>
      <c r="J168" s="1">
        <v>42838</v>
      </c>
      <c r="K168" s="24" t="s">
        <v>1772</v>
      </c>
      <c r="L168" s="7">
        <f>EV[[#This Row],[Current_Debt]]/EV[[#This Row],[Monthly_Income]]</f>
        <v>0.41899862087852974</v>
      </c>
      <c r="M168" t="s">
        <v>1786</v>
      </c>
    </row>
    <row r="169" spans="1:13" x14ac:dyDescent="0.3">
      <c r="A169">
        <v>168</v>
      </c>
      <c r="B169" t="s">
        <v>1438</v>
      </c>
      <c r="C169">
        <v>65</v>
      </c>
      <c r="D169">
        <v>79264</v>
      </c>
      <c r="E169" s="1">
        <v>1814693</v>
      </c>
      <c r="F169">
        <v>0.10199999999999999</v>
      </c>
      <c r="G169">
        <v>25</v>
      </c>
      <c r="H169">
        <v>659</v>
      </c>
      <c r="I169">
        <v>0</v>
      </c>
      <c r="J169" s="1">
        <v>13597</v>
      </c>
      <c r="K169" s="24" t="s">
        <v>1772</v>
      </c>
      <c r="L169" s="7">
        <f>EV[[#This Row],[Current_Debt]]/EV[[#This Row],[Monthly_Income]]</f>
        <v>0.1715406742026645</v>
      </c>
      <c r="M169" t="s">
        <v>2292</v>
      </c>
    </row>
    <row r="170" spans="1:13" x14ac:dyDescent="0.3">
      <c r="A170">
        <v>169</v>
      </c>
      <c r="B170" t="s">
        <v>1439</v>
      </c>
      <c r="C170">
        <v>38</v>
      </c>
      <c r="D170">
        <v>106153</v>
      </c>
      <c r="E170" s="1">
        <v>2111484</v>
      </c>
      <c r="F170">
        <v>9.4E-2</v>
      </c>
      <c r="G170">
        <v>20</v>
      </c>
      <c r="H170">
        <v>754</v>
      </c>
      <c r="I170">
        <v>11</v>
      </c>
      <c r="J170" s="1">
        <v>7823</v>
      </c>
      <c r="K170" s="26" t="s">
        <v>1774</v>
      </c>
      <c r="L170" s="7">
        <f>EV[[#This Row],[Current_Debt]]/EV[[#This Row],[Monthly_Income]]</f>
        <v>7.3695514964249711E-2</v>
      </c>
      <c r="M170" t="s">
        <v>1785</v>
      </c>
    </row>
    <row r="171" spans="1:13" x14ac:dyDescent="0.3">
      <c r="A171">
        <v>170</v>
      </c>
      <c r="B171" t="s">
        <v>1440</v>
      </c>
      <c r="C171">
        <v>60</v>
      </c>
      <c r="D171">
        <v>96262</v>
      </c>
      <c r="E171" s="1">
        <v>1473655</v>
      </c>
      <c r="F171">
        <v>0.10100000000000001</v>
      </c>
      <c r="G171">
        <v>15</v>
      </c>
      <c r="H171">
        <v>792</v>
      </c>
      <c r="I171">
        <v>5</v>
      </c>
      <c r="J171" s="1">
        <v>8271</v>
      </c>
      <c r="K171" s="26" t="s">
        <v>1774</v>
      </c>
      <c r="L171" s="7">
        <f>EV[[#This Row],[Current_Debt]]/EV[[#This Row],[Monthly_Income]]</f>
        <v>8.5921755209740089E-2</v>
      </c>
      <c r="M171" t="s">
        <v>1785</v>
      </c>
    </row>
    <row r="172" spans="1:13" x14ac:dyDescent="0.3">
      <c r="A172">
        <v>171</v>
      </c>
      <c r="B172" t="s">
        <v>1441</v>
      </c>
      <c r="C172">
        <v>49</v>
      </c>
      <c r="D172">
        <v>68071</v>
      </c>
      <c r="E172" s="1">
        <v>1172106</v>
      </c>
      <c r="F172">
        <v>8.5999999999999993E-2</v>
      </c>
      <c r="G172">
        <v>10</v>
      </c>
      <c r="H172">
        <v>719</v>
      </c>
      <c r="I172">
        <v>2</v>
      </c>
      <c r="J172" s="1">
        <v>31533</v>
      </c>
      <c r="K172" s="24" t="s">
        <v>1772</v>
      </c>
      <c r="L172" s="7">
        <f>EV[[#This Row],[Current_Debt]]/EV[[#This Row],[Monthly_Income]]</f>
        <v>0.46323691439820186</v>
      </c>
      <c r="M172" t="s">
        <v>1786</v>
      </c>
    </row>
    <row r="173" spans="1:13" x14ac:dyDescent="0.3">
      <c r="A173">
        <v>172</v>
      </c>
      <c r="B173" t="s">
        <v>1442</v>
      </c>
      <c r="C173">
        <v>49</v>
      </c>
      <c r="D173">
        <v>77104</v>
      </c>
      <c r="E173" s="1">
        <v>868446</v>
      </c>
      <c r="F173">
        <v>9.0999999999999998E-2</v>
      </c>
      <c r="G173">
        <v>30</v>
      </c>
      <c r="H173">
        <v>843</v>
      </c>
      <c r="I173">
        <v>13</v>
      </c>
      <c r="J173" s="1">
        <v>35380</v>
      </c>
      <c r="K173" s="24" t="s">
        <v>1772</v>
      </c>
      <c r="L173" s="7">
        <f>EV[[#This Row],[Current_Debt]]/EV[[#This Row],[Monthly_Income]]</f>
        <v>0.45886075949367089</v>
      </c>
      <c r="M173" t="s">
        <v>1786</v>
      </c>
    </row>
    <row r="174" spans="1:13" x14ac:dyDescent="0.3">
      <c r="A174">
        <v>173</v>
      </c>
      <c r="B174" t="s">
        <v>1443</v>
      </c>
      <c r="C174">
        <v>38</v>
      </c>
      <c r="D174">
        <v>22017</v>
      </c>
      <c r="E174" s="1">
        <v>1101292</v>
      </c>
      <c r="F174">
        <v>0.109</v>
      </c>
      <c r="G174">
        <v>10</v>
      </c>
      <c r="H174">
        <v>801</v>
      </c>
      <c r="I174">
        <v>6</v>
      </c>
      <c r="J174" s="1">
        <v>46652</v>
      </c>
      <c r="K174" s="24" t="s">
        <v>1772</v>
      </c>
      <c r="L174" s="7">
        <f>EV[[#This Row],[Current_Debt]]/EV[[#This Row],[Monthly_Income]]</f>
        <v>2.1189081164554664</v>
      </c>
      <c r="M174" t="s">
        <v>1786</v>
      </c>
    </row>
    <row r="175" spans="1:13" x14ac:dyDescent="0.3">
      <c r="A175">
        <v>174</v>
      </c>
      <c r="B175" t="s">
        <v>1444</v>
      </c>
      <c r="C175">
        <v>24</v>
      </c>
      <c r="D175">
        <v>28650</v>
      </c>
      <c r="E175" s="1">
        <v>1947684</v>
      </c>
      <c r="F175">
        <v>8.7999999999999995E-2</v>
      </c>
      <c r="G175">
        <v>20</v>
      </c>
      <c r="H175">
        <v>644</v>
      </c>
      <c r="I175">
        <v>8</v>
      </c>
      <c r="J175" s="1">
        <v>35575</v>
      </c>
      <c r="K175" s="25" t="s">
        <v>1773</v>
      </c>
      <c r="L175" s="7">
        <f>EV[[#This Row],[Current_Debt]]/EV[[#This Row],[Monthly_Income]]</f>
        <v>1.2417102966841187</v>
      </c>
      <c r="M175" t="s">
        <v>1784</v>
      </c>
    </row>
    <row r="176" spans="1:13" x14ac:dyDescent="0.3">
      <c r="A176">
        <v>175</v>
      </c>
      <c r="B176" t="s">
        <v>1445</v>
      </c>
      <c r="C176">
        <v>62</v>
      </c>
      <c r="D176">
        <v>91425</v>
      </c>
      <c r="E176" s="1">
        <v>2260444</v>
      </c>
      <c r="F176">
        <v>9.5000000000000001E-2</v>
      </c>
      <c r="G176">
        <v>25</v>
      </c>
      <c r="H176">
        <v>800</v>
      </c>
      <c r="I176">
        <v>15</v>
      </c>
      <c r="J176" s="1">
        <v>23192</v>
      </c>
      <c r="K176" s="24" t="s">
        <v>1772</v>
      </c>
      <c r="L176" s="7">
        <f>EV[[#This Row],[Current_Debt]]/EV[[#This Row],[Monthly_Income]]</f>
        <v>0.25367240907847965</v>
      </c>
      <c r="M176" t="s">
        <v>1786</v>
      </c>
    </row>
    <row r="177" spans="1:13" x14ac:dyDescent="0.3">
      <c r="A177">
        <v>176</v>
      </c>
      <c r="B177" t="s">
        <v>1446</v>
      </c>
      <c r="C177">
        <v>39</v>
      </c>
      <c r="D177">
        <v>101029</v>
      </c>
      <c r="E177" s="1">
        <v>1455241</v>
      </c>
      <c r="F177">
        <v>9.0999999999999998E-2</v>
      </c>
      <c r="G177">
        <v>30</v>
      </c>
      <c r="H177">
        <v>633</v>
      </c>
      <c r="I177">
        <v>4</v>
      </c>
      <c r="J177" s="1">
        <v>8944</v>
      </c>
      <c r="K177" s="24" t="s">
        <v>1773</v>
      </c>
      <c r="L177" s="7">
        <f>EV[[#This Row],[Current_Debt]]/EV[[#This Row],[Monthly_Income]]</f>
        <v>8.8529036217323734E-2</v>
      </c>
      <c r="M177" t="s">
        <v>2291</v>
      </c>
    </row>
    <row r="178" spans="1:13" x14ac:dyDescent="0.3">
      <c r="A178">
        <v>177</v>
      </c>
      <c r="B178" t="s">
        <v>1447</v>
      </c>
      <c r="C178">
        <v>63</v>
      </c>
      <c r="D178">
        <v>104676</v>
      </c>
      <c r="E178" s="1">
        <v>859380</v>
      </c>
      <c r="F178">
        <v>0.10199999999999999</v>
      </c>
      <c r="G178">
        <v>30</v>
      </c>
      <c r="H178">
        <v>847</v>
      </c>
      <c r="I178">
        <v>9</v>
      </c>
      <c r="J178" s="1">
        <v>32997</v>
      </c>
      <c r="K178" s="24" t="s">
        <v>1772</v>
      </c>
      <c r="L178" s="7">
        <f>EV[[#This Row],[Current_Debt]]/EV[[#This Row],[Monthly_Income]]</f>
        <v>0.31522985211509802</v>
      </c>
      <c r="M178" t="s">
        <v>1786</v>
      </c>
    </row>
    <row r="179" spans="1:13" x14ac:dyDescent="0.3">
      <c r="A179">
        <v>178</v>
      </c>
      <c r="B179" t="s">
        <v>1448</v>
      </c>
      <c r="C179">
        <v>36</v>
      </c>
      <c r="D179">
        <v>71336</v>
      </c>
      <c r="E179" s="1">
        <v>1871498</v>
      </c>
      <c r="F179">
        <v>0.114</v>
      </c>
      <c r="G179">
        <v>30</v>
      </c>
      <c r="H179">
        <v>602</v>
      </c>
      <c r="I179">
        <v>1</v>
      </c>
      <c r="J179" s="1">
        <v>28057</v>
      </c>
      <c r="K179" s="24" t="s">
        <v>1773</v>
      </c>
      <c r="L179" s="7">
        <f>EV[[#This Row],[Current_Debt]]/EV[[#This Row],[Monthly_Income]]</f>
        <v>0.39330772681395088</v>
      </c>
      <c r="M179" t="s">
        <v>2291</v>
      </c>
    </row>
    <row r="180" spans="1:13" x14ac:dyDescent="0.3">
      <c r="A180">
        <v>179</v>
      </c>
      <c r="B180" t="s">
        <v>1449</v>
      </c>
      <c r="C180">
        <v>57</v>
      </c>
      <c r="D180">
        <v>106532</v>
      </c>
      <c r="E180" s="1">
        <v>509045</v>
      </c>
      <c r="F180">
        <v>0.10100000000000001</v>
      </c>
      <c r="G180">
        <v>30</v>
      </c>
      <c r="H180">
        <v>704</v>
      </c>
      <c r="I180">
        <v>1</v>
      </c>
      <c r="J180" s="1">
        <v>31985</v>
      </c>
      <c r="K180" s="24" t="s">
        <v>1772</v>
      </c>
      <c r="L180" s="7">
        <f>EV[[#This Row],[Current_Debt]]/EV[[#This Row],[Monthly_Income]]</f>
        <v>0.30023842601284123</v>
      </c>
      <c r="M180" t="s">
        <v>1786</v>
      </c>
    </row>
    <row r="181" spans="1:13" x14ac:dyDescent="0.3">
      <c r="A181">
        <v>180</v>
      </c>
      <c r="B181" t="s">
        <v>1450</v>
      </c>
      <c r="C181">
        <v>41</v>
      </c>
      <c r="D181">
        <v>27675</v>
      </c>
      <c r="E181" s="1">
        <v>2091491</v>
      </c>
      <c r="F181">
        <v>0.11700000000000001</v>
      </c>
      <c r="G181">
        <v>20</v>
      </c>
      <c r="H181">
        <v>671</v>
      </c>
      <c r="I181">
        <v>6</v>
      </c>
      <c r="J181" s="1">
        <v>42145</v>
      </c>
      <c r="K181" s="24" t="s">
        <v>1772</v>
      </c>
      <c r="L181" s="7">
        <f>EV[[#This Row],[Current_Debt]]/EV[[#This Row],[Monthly_Income]]</f>
        <v>1.5228545618789522</v>
      </c>
      <c r="M181" t="s">
        <v>2292</v>
      </c>
    </row>
    <row r="182" spans="1:13" x14ac:dyDescent="0.3">
      <c r="A182">
        <v>181</v>
      </c>
      <c r="B182" t="s">
        <v>1451</v>
      </c>
      <c r="C182">
        <v>64</v>
      </c>
      <c r="D182">
        <v>111610</v>
      </c>
      <c r="E182" s="1">
        <v>2484205</v>
      </c>
      <c r="F182">
        <v>0.08</v>
      </c>
      <c r="G182">
        <v>25</v>
      </c>
      <c r="H182">
        <v>845</v>
      </c>
      <c r="I182">
        <v>8</v>
      </c>
      <c r="J182" s="1">
        <v>30348</v>
      </c>
      <c r="K182" s="24" t="s">
        <v>1772</v>
      </c>
      <c r="L182" s="7">
        <f>EV[[#This Row],[Current_Debt]]/EV[[#This Row],[Monthly_Income]]</f>
        <v>0.27191111907535165</v>
      </c>
      <c r="M182" t="s">
        <v>1786</v>
      </c>
    </row>
    <row r="183" spans="1:13" x14ac:dyDescent="0.3">
      <c r="A183">
        <v>182</v>
      </c>
      <c r="B183" t="s">
        <v>1452</v>
      </c>
      <c r="C183">
        <v>25</v>
      </c>
      <c r="D183">
        <v>108171</v>
      </c>
      <c r="E183" s="1">
        <v>1531916</v>
      </c>
      <c r="F183">
        <v>0.113</v>
      </c>
      <c r="G183">
        <v>15</v>
      </c>
      <c r="H183">
        <v>817</v>
      </c>
      <c r="I183">
        <v>5</v>
      </c>
      <c r="J183" s="1">
        <v>44055</v>
      </c>
      <c r="K183" s="24" t="s">
        <v>1772</v>
      </c>
      <c r="L183" s="7">
        <f>EV[[#This Row],[Current_Debt]]/EV[[#This Row],[Monthly_Income]]</f>
        <v>0.40727181961893666</v>
      </c>
      <c r="M183" t="s">
        <v>1786</v>
      </c>
    </row>
    <row r="184" spans="1:13" x14ac:dyDescent="0.3">
      <c r="A184">
        <v>183</v>
      </c>
      <c r="B184" t="s">
        <v>1453</v>
      </c>
      <c r="C184">
        <v>22</v>
      </c>
      <c r="D184">
        <v>95901</v>
      </c>
      <c r="E184" s="1">
        <v>775624</v>
      </c>
      <c r="F184">
        <v>0.113</v>
      </c>
      <c r="G184">
        <v>25</v>
      </c>
      <c r="H184">
        <v>776</v>
      </c>
      <c r="I184">
        <v>11</v>
      </c>
      <c r="J184" s="1">
        <v>47713</v>
      </c>
      <c r="K184" s="25" t="s">
        <v>1773</v>
      </c>
      <c r="L184" s="7">
        <f>EV[[#This Row],[Current_Debt]]/EV[[#This Row],[Monthly_Income]]</f>
        <v>0.4975234877634227</v>
      </c>
      <c r="M184" t="s">
        <v>1784</v>
      </c>
    </row>
    <row r="185" spans="1:13" x14ac:dyDescent="0.3">
      <c r="A185">
        <v>184</v>
      </c>
      <c r="B185" t="s">
        <v>1454</v>
      </c>
      <c r="C185">
        <v>61</v>
      </c>
      <c r="D185">
        <v>112654</v>
      </c>
      <c r="E185" s="1">
        <v>1009201</v>
      </c>
      <c r="F185">
        <v>9.9000000000000005E-2</v>
      </c>
      <c r="G185">
        <v>10</v>
      </c>
      <c r="H185">
        <v>719</v>
      </c>
      <c r="I185">
        <v>15</v>
      </c>
      <c r="J185" s="1">
        <v>38355</v>
      </c>
      <c r="K185" s="24" t="s">
        <v>1772</v>
      </c>
      <c r="L185" s="7">
        <f>EV[[#This Row],[Current_Debt]]/EV[[#This Row],[Monthly_Income]]</f>
        <v>0.34046727146838995</v>
      </c>
      <c r="M185" t="s">
        <v>1786</v>
      </c>
    </row>
    <row r="186" spans="1:13" x14ac:dyDescent="0.3">
      <c r="A186">
        <v>185</v>
      </c>
      <c r="B186" t="s">
        <v>1455</v>
      </c>
      <c r="C186">
        <v>55</v>
      </c>
      <c r="D186">
        <v>41790</v>
      </c>
      <c r="E186" s="1">
        <v>1921449</v>
      </c>
      <c r="F186">
        <v>0.112</v>
      </c>
      <c r="G186">
        <v>25</v>
      </c>
      <c r="H186">
        <v>759</v>
      </c>
      <c r="I186">
        <v>14</v>
      </c>
      <c r="J186" s="1">
        <v>4899</v>
      </c>
      <c r="K186" s="26" t="s">
        <v>1774</v>
      </c>
      <c r="L186" s="7">
        <f>EV[[#This Row],[Current_Debt]]/EV[[#This Row],[Monthly_Income]]</f>
        <v>0.11722900215362526</v>
      </c>
      <c r="M186" t="s">
        <v>1785</v>
      </c>
    </row>
    <row r="187" spans="1:13" x14ac:dyDescent="0.3">
      <c r="A187">
        <v>186</v>
      </c>
      <c r="B187" t="s">
        <v>1456</v>
      </c>
      <c r="C187">
        <v>63</v>
      </c>
      <c r="D187">
        <v>96955</v>
      </c>
      <c r="E187" s="1">
        <v>2444679</v>
      </c>
      <c r="F187">
        <v>9.7000000000000003E-2</v>
      </c>
      <c r="G187">
        <v>20</v>
      </c>
      <c r="H187">
        <v>824</v>
      </c>
      <c r="I187">
        <v>13</v>
      </c>
      <c r="J187" s="1">
        <v>36032</v>
      </c>
      <c r="K187" s="24" t="s">
        <v>1772</v>
      </c>
      <c r="L187" s="7">
        <f>EV[[#This Row],[Current_Debt]]/EV[[#This Row],[Monthly_Income]]</f>
        <v>0.37163632613067921</v>
      </c>
      <c r="M187" t="s">
        <v>1786</v>
      </c>
    </row>
    <row r="188" spans="1:13" x14ac:dyDescent="0.3">
      <c r="A188">
        <v>187</v>
      </c>
      <c r="B188" t="s">
        <v>1457</v>
      </c>
      <c r="C188">
        <v>54</v>
      </c>
      <c r="D188">
        <v>34143</v>
      </c>
      <c r="E188" s="1">
        <v>1306568</v>
      </c>
      <c r="F188">
        <v>0.1</v>
      </c>
      <c r="G188">
        <v>30</v>
      </c>
      <c r="H188">
        <v>607</v>
      </c>
      <c r="I188">
        <v>5</v>
      </c>
      <c r="J188" s="1">
        <v>31935</v>
      </c>
      <c r="K188" s="24" t="s">
        <v>1773</v>
      </c>
      <c r="L188" s="7">
        <f>EV[[#This Row],[Current_Debt]]/EV[[#This Row],[Monthly_Income]]</f>
        <v>0.93533081451542044</v>
      </c>
      <c r="M188" t="s">
        <v>2291</v>
      </c>
    </row>
    <row r="189" spans="1:13" x14ac:dyDescent="0.3">
      <c r="A189">
        <v>188</v>
      </c>
      <c r="B189" t="s">
        <v>1458</v>
      </c>
      <c r="C189">
        <v>43</v>
      </c>
      <c r="D189">
        <v>37189</v>
      </c>
      <c r="E189" s="1">
        <v>1509192</v>
      </c>
      <c r="F189">
        <v>0.11700000000000001</v>
      </c>
      <c r="G189">
        <v>30</v>
      </c>
      <c r="H189">
        <v>687</v>
      </c>
      <c r="I189">
        <v>2</v>
      </c>
      <c r="J189" s="1">
        <v>8433</v>
      </c>
      <c r="K189" s="24" t="s">
        <v>1774</v>
      </c>
      <c r="L189" s="7">
        <f>EV[[#This Row],[Current_Debt]]/EV[[#This Row],[Monthly_Income]]</f>
        <v>0.22676060125305869</v>
      </c>
      <c r="M189" t="s">
        <v>2290</v>
      </c>
    </row>
    <row r="190" spans="1:13" x14ac:dyDescent="0.3">
      <c r="A190">
        <v>189</v>
      </c>
      <c r="B190" t="s">
        <v>1459</v>
      </c>
      <c r="C190">
        <v>65</v>
      </c>
      <c r="D190">
        <v>46554</v>
      </c>
      <c r="E190" s="1">
        <v>1952181</v>
      </c>
      <c r="F190">
        <v>8.3000000000000004E-2</v>
      </c>
      <c r="G190">
        <v>25</v>
      </c>
      <c r="H190">
        <v>609</v>
      </c>
      <c r="I190">
        <v>15</v>
      </c>
      <c r="J190" s="1">
        <v>13455</v>
      </c>
      <c r="K190" s="24" t="s">
        <v>1773</v>
      </c>
      <c r="L190" s="7">
        <f>EV[[#This Row],[Current_Debt]]/EV[[#This Row],[Monthly_Income]]</f>
        <v>0.28901920350560639</v>
      </c>
      <c r="M190" t="s">
        <v>2291</v>
      </c>
    </row>
    <row r="191" spans="1:13" x14ac:dyDescent="0.3">
      <c r="A191">
        <v>190</v>
      </c>
      <c r="B191" t="s">
        <v>1460</v>
      </c>
      <c r="C191">
        <v>46</v>
      </c>
      <c r="D191">
        <v>38295</v>
      </c>
      <c r="E191" s="1">
        <v>2330994</v>
      </c>
      <c r="F191">
        <v>0.113</v>
      </c>
      <c r="G191">
        <v>25</v>
      </c>
      <c r="H191">
        <v>814</v>
      </c>
      <c r="I191">
        <v>10</v>
      </c>
      <c r="J191" s="1">
        <v>34533</v>
      </c>
      <c r="K191" s="24" t="s">
        <v>1772</v>
      </c>
      <c r="L191" s="7">
        <f>EV[[#This Row],[Current_Debt]]/EV[[#This Row],[Monthly_Income]]</f>
        <v>0.90176263219741482</v>
      </c>
      <c r="M191" t="s">
        <v>1786</v>
      </c>
    </row>
    <row r="192" spans="1:13" x14ac:dyDescent="0.3">
      <c r="A192">
        <v>191</v>
      </c>
      <c r="B192" t="s">
        <v>1461</v>
      </c>
      <c r="C192">
        <v>40</v>
      </c>
      <c r="D192">
        <v>53851</v>
      </c>
      <c r="E192" s="1">
        <v>880594</v>
      </c>
      <c r="F192">
        <v>0.1</v>
      </c>
      <c r="G192">
        <v>10</v>
      </c>
      <c r="H192">
        <v>792</v>
      </c>
      <c r="I192">
        <v>9</v>
      </c>
      <c r="J192" s="1">
        <v>45811</v>
      </c>
      <c r="K192" s="24" t="s">
        <v>1772</v>
      </c>
      <c r="L192" s="7">
        <f>EV[[#This Row],[Current_Debt]]/EV[[#This Row],[Monthly_Income]]</f>
        <v>0.85069915136209173</v>
      </c>
      <c r="M192" t="s">
        <v>1786</v>
      </c>
    </row>
    <row r="193" spans="1:13" x14ac:dyDescent="0.3">
      <c r="A193">
        <v>192</v>
      </c>
      <c r="B193" t="s">
        <v>1462</v>
      </c>
      <c r="C193">
        <v>49</v>
      </c>
      <c r="D193">
        <v>56806</v>
      </c>
      <c r="E193" s="1">
        <v>856125</v>
      </c>
      <c r="F193">
        <v>8.5000000000000006E-2</v>
      </c>
      <c r="G193">
        <v>30</v>
      </c>
      <c r="H193">
        <v>746</v>
      </c>
      <c r="I193">
        <v>14</v>
      </c>
      <c r="J193" s="1">
        <v>4894</v>
      </c>
      <c r="K193" s="26" t="s">
        <v>1774</v>
      </c>
      <c r="L193" s="7">
        <f>EV[[#This Row],[Current_Debt]]/EV[[#This Row],[Monthly_Income]]</f>
        <v>8.6152871175580042E-2</v>
      </c>
      <c r="M193" t="s">
        <v>1785</v>
      </c>
    </row>
    <row r="194" spans="1:13" x14ac:dyDescent="0.3">
      <c r="A194">
        <v>193</v>
      </c>
      <c r="B194" t="s">
        <v>1463</v>
      </c>
      <c r="C194">
        <v>55</v>
      </c>
      <c r="D194">
        <v>108799</v>
      </c>
      <c r="E194" s="1">
        <v>1244785</v>
      </c>
      <c r="F194">
        <v>8.5000000000000006E-2</v>
      </c>
      <c r="G194">
        <v>15</v>
      </c>
      <c r="H194">
        <v>689</v>
      </c>
      <c r="I194">
        <v>14</v>
      </c>
      <c r="J194" s="1">
        <v>7326</v>
      </c>
      <c r="K194" s="24" t="s">
        <v>1774</v>
      </c>
      <c r="L194" s="7">
        <f>EV[[#This Row],[Current_Debt]]/EV[[#This Row],[Monthly_Income]]</f>
        <v>6.733517771303045E-2</v>
      </c>
      <c r="M194" t="s">
        <v>2290</v>
      </c>
    </row>
    <row r="195" spans="1:13" x14ac:dyDescent="0.3">
      <c r="A195">
        <v>194</v>
      </c>
      <c r="B195" t="s">
        <v>1464</v>
      </c>
      <c r="C195">
        <v>60</v>
      </c>
      <c r="D195">
        <v>36384</v>
      </c>
      <c r="E195" s="1">
        <v>2355711</v>
      </c>
      <c r="F195">
        <v>0.104</v>
      </c>
      <c r="G195">
        <v>10</v>
      </c>
      <c r="H195">
        <v>683</v>
      </c>
      <c r="I195">
        <v>12</v>
      </c>
      <c r="J195" s="1">
        <v>21540</v>
      </c>
      <c r="K195" s="24" t="s">
        <v>1772</v>
      </c>
      <c r="L195" s="7">
        <f>EV[[#This Row],[Current_Debt]]/EV[[#This Row],[Monthly_Income]]</f>
        <v>0.59201846965699212</v>
      </c>
      <c r="M195" t="s">
        <v>1786</v>
      </c>
    </row>
    <row r="196" spans="1:13" x14ac:dyDescent="0.3">
      <c r="A196">
        <v>195</v>
      </c>
      <c r="B196" t="s">
        <v>1465</v>
      </c>
      <c r="C196">
        <v>30</v>
      </c>
      <c r="D196">
        <v>111728</v>
      </c>
      <c r="E196" s="1">
        <v>596046</v>
      </c>
      <c r="F196">
        <v>0.104</v>
      </c>
      <c r="G196">
        <v>20</v>
      </c>
      <c r="H196">
        <v>844</v>
      </c>
      <c r="I196">
        <v>5</v>
      </c>
      <c r="J196" s="1">
        <v>46030</v>
      </c>
      <c r="K196" s="24" t="s">
        <v>1772</v>
      </c>
      <c r="L196" s="7">
        <f>EV[[#This Row],[Current_Debt]]/EV[[#This Row],[Monthly_Income]]</f>
        <v>0.41198267220392382</v>
      </c>
      <c r="M196" t="s">
        <v>1786</v>
      </c>
    </row>
    <row r="197" spans="1:13" x14ac:dyDescent="0.3">
      <c r="A197">
        <v>196</v>
      </c>
      <c r="B197" t="s">
        <v>1466</v>
      </c>
      <c r="C197">
        <v>49</v>
      </c>
      <c r="D197">
        <v>48492</v>
      </c>
      <c r="E197" s="1">
        <v>1499621</v>
      </c>
      <c r="F197">
        <v>0.109</v>
      </c>
      <c r="G197">
        <v>30</v>
      </c>
      <c r="H197">
        <v>821</v>
      </c>
      <c r="I197">
        <v>3</v>
      </c>
      <c r="J197" s="1">
        <v>39878</v>
      </c>
      <c r="K197" s="24" t="s">
        <v>1772</v>
      </c>
      <c r="L197" s="7">
        <f>EV[[#This Row],[Current_Debt]]/EV[[#This Row],[Monthly_Income]]</f>
        <v>0.82236245153839804</v>
      </c>
      <c r="M197" t="s">
        <v>1786</v>
      </c>
    </row>
    <row r="198" spans="1:13" x14ac:dyDescent="0.3">
      <c r="A198">
        <v>197</v>
      </c>
      <c r="B198" t="s">
        <v>1467</v>
      </c>
      <c r="C198">
        <v>26</v>
      </c>
      <c r="D198">
        <v>116451</v>
      </c>
      <c r="E198" s="1">
        <v>526104</v>
      </c>
      <c r="F198">
        <v>8.5999999999999993E-2</v>
      </c>
      <c r="G198">
        <v>30</v>
      </c>
      <c r="H198">
        <v>738</v>
      </c>
      <c r="I198">
        <v>12</v>
      </c>
      <c r="J198" s="1">
        <v>46640</v>
      </c>
      <c r="K198" s="24" t="s">
        <v>1772</v>
      </c>
      <c r="L198" s="7">
        <f>EV[[#This Row],[Current_Debt]]/EV[[#This Row],[Monthly_Income]]</f>
        <v>0.4005118032477179</v>
      </c>
      <c r="M198" t="s">
        <v>1786</v>
      </c>
    </row>
    <row r="199" spans="1:13" x14ac:dyDescent="0.3">
      <c r="A199">
        <v>198</v>
      </c>
      <c r="B199" t="s">
        <v>1468</v>
      </c>
      <c r="C199">
        <v>21</v>
      </c>
      <c r="D199">
        <v>78631</v>
      </c>
      <c r="E199" s="1">
        <v>1276204</v>
      </c>
      <c r="F199">
        <v>0.109</v>
      </c>
      <c r="G199">
        <v>20</v>
      </c>
      <c r="H199">
        <v>601</v>
      </c>
      <c r="I199">
        <v>11</v>
      </c>
      <c r="J199" s="1">
        <v>19566</v>
      </c>
      <c r="K199" s="25" t="s">
        <v>1773</v>
      </c>
      <c r="L199" s="7">
        <f>EV[[#This Row],[Current_Debt]]/EV[[#This Row],[Monthly_Income]]</f>
        <v>0.24883315740611209</v>
      </c>
      <c r="M199" t="s">
        <v>1784</v>
      </c>
    </row>
    <row r="200" spans="1:13" x14ac:dyDescent="0.3">
      <c r="A200">
        <v>199</v>
      </c>
      <c r="B200" t="s">
        <v>1469</v>
      </c>
      <c r="C200">
        <v>34</v>
      </c>
      <c r="D200">
        <v>100350</v>
      </c>
      <c r="E200" s="1">
        <v>2346798</v>
      </c>
      <c r="F200">
        <v>0.1</v>
      </c>
      <c r="G200">
        <v>30</v>
      </c>
      <c r="H200">
        <v>799</v>
      </c>
      <c r="I200">
        <v>11</v>
      </c>
      <c r="J200" s="1">
        <v>11122</v>
      </c>
      <c r="K200" s="24" t="s">
        <v>1774</v>
      </c>
      <c r="L200" s="7">
        <f>EV[[#This Row],[Current_Debt]]/EV[[#This Row],[Monthly_Income]]</f>
        <v>0.11083208769307425</v>
      </c>
      <c r="M200" t="s">
        <v>1785</v>
      </c>
    </row>
    <row r="201" spans="1:13" x14ac:dyDescent="0.3">
      <c r="A201">
        <v>200</v>
      </c>
      <c r="B201" t="s">
        <v>1470</v>
      </c>
      <c r="C201">
        <v>52</v>
      </c>
      <c r="D201">
        <v>83917</v>
      </c>
      <c r="E201" s="1">
        <v>1412095</v>
      </c>
      <c r="F201">
        <v>0.11</v>
      </c>
      <c r="G201">
        <v>30</v>
      </c>
      <c r="H201">
        <v>641</v>
      </c>
      <c r="I201">
        <v>2</v>
      </c>
      <c r="J201" s="1">
        <v>1986</v>
      </c>
      <c r="K201" s="24" t="s">
        <v>1773</v>
      </c>
      <c r="L201" s="7">
        <f>EV[[#This Row],[Current_Debt]]/EV[[#This Row],[Monthly_Income]]</f>
        <v>2.3666241643528724E-2</v>
      </c>
      <c r="M201" t="s">
        <v>2291</v>
      </c>
    </row>
    <row r="202" spans="1:13" x14ac:dyDescent="0.3">
      <c r="A202">
        <v>201</v>
      </c>
      <c r="B202" t="s">
        <v>1471</v>
      </c>
      <c r="C202">
        <v>26</v>
      </c>
      <c r="D202">
        <v>85457</v>
      </c>
      <c r="E202" s="1">
        <v>2123574</v>
      </c>
      <c r="F202">
        <v>8.7999999999999995E-2</v>
      </c>
      <c r="G202">
        <v>20</v>
      </c>
      <c r="H202">
        <v>744</v>
      </c>
      <c r="I202">
        <v>10</v>
      </c>
      <c r="J202" s="1">
        <v>16319</v>
      </c>
      <c r="K202" s="24" t="s">
        <v>1772</v>
      </c>
      <c r="L202" s="7">
        <f>EV[[#This Row],[Current_Debt]]/EV[[#This Row],[Monthly_Income]]</f>
        <v>0.19096153621119394</v>
      </c>
      <c r="M202" t="s">
        <v>1786</v>
      </c>
    </row>
    <row r="203" spans="1:13" x14ac:dyDescent="0.3">
      <c r="A203">
        <v>202</v>
      </c>
      <c r="B203" t="s">
        <v>1472</v>
      </c>
      <c r="C203">
        <v>52</v>
      </c>
      <c r="D203">
        <v>24501</v>
      </c>
      <c r="E203" s="1">
        <v>1686002</v>
      </c>
      <c r="F203">
        <v>0.08</v>
      </c>
      <c r="G203">
        <v>25</v>
      </c>
      <c r="H203">
        <v>676</v>
      </c>
      <c r="I203">
        <v>12</v>
      </c>
      <c r="J203" s="1">
        <v>15488</v>
      </c>
      <c r="K203" s="24" t="s">
        <v>1772</v>
      </c>
      <c r="L203" s="7">
        <f>EV[[#This Row],[Current_Debt]]/EV[[#This Row],[Monthly_Income]]</f>
        <v>0.63213746377698865</v>
      </c>
      <c r="M203" t="s">
        <v>2292</v>
      </c>
    </row>
    <row r="204" spans="1:13" x14ac:dyDescent="0.3">
      <c r="A204">
        <v>203</v>
      </c>
      <c r="B204" t="s">
        <v>1473</v>
      </c>
      <c r="C204">
        <v>22</v>
      </c>
      <c r="D204">
        <v>75847</v>
      </c>
      <c r="E204" s="1">
        <v>1061859</v>
      </c>
      <c r="F204">
        <v>0.109</v>
      </c>
      <c r="G204">
        <v>15</v>
      </c>
      <c r="H204">
        <v>747</v>
      </c>
      <c r="I204">
        <v>2</v>
      </c>
      <c r="J204" s="1">
        <v>8902</v>
      </c>
      <c r="K204" s="25" t="s">
        <v>1773</v>
      </c>
      <c r="L204" s="7">
        <f>EV[[#This Row],[Current_Debt]]/EV[[#This Row],[Monthly_Income]]</f>
        <v>0.11736785897926089</v>
      </c>
      <c r="M204" t="s">
        <v>1784</v>
      </c>
    </row>
    <row r="205" spans="1:13" x14ac:dyDescent="0.3">
      <c r="A205">
        <v>204</v>
      </c>
      <c r="B205" t="s">
        <v>1474</v>
      </c>
      <c r="C205">
        <v>28</v>
      </c>
      <c r="D205">
        <v>101807</v>
      </c>
      <c r="E205" s="1">
        <v>578384</v>
      </c>
      <c r="F205">
        <v>9.2999999999999999E-2</v>
      </c>
      <c r="G205">
        <v>25</v>
      </c>
      <c r="H205">
        <v>658</v>
      </c>
      <c r="I205">
        <v>13</v>
      </c>
      <c r="J205" s="1">
        <v>41167</v>
      </c>
      <c r="K205" s="24" t="s">
        <v>1772</v>
      </c>
      <c r="L205" s="7">
        <f>EV[[#This Row],[Current_Debt]]/EV[[#This Row],[Monthly_Income]]</f>
        <v>0.4043631577396446</v>
      </c>
      <c r="M205" t="s">
        <v>2292</v>
      </c>
    </row>
    <row r="206" spans="1:13" x14ac:dyDescent="0.3">
      <c r="A206">
        <v>205</v>
      </c>
      <c r="B206" t="s">
        <v>1475</v>
      </c>
      <c r="C206">
        <v>32</v>
      </c>
      <c r="D206">
        <v>119120</v>
      </c>
      <c r="E206" s="1">
        <v>2247421</v>
      </c>
      <c r="F206">
        <v>0.109</v>
      </c>
      <c r="G206">
        <v>10</v>
      </c>
      <c r="H206">
        <v>706</v>
      </c>
      <c r="I206">
        <v>15</v>
      </c>
      <c r="J206" s="1">
        <v>8281</v>
      </c>
      <c r="K206" s="26" t="s">
        <v>1774</v>
      </c>
      <c r="L206" s="7">
        <f>EV[[#This Row],[Current_Debt]]/EV[[#This Row],[Monthly_Income]]</f>
        <v>6.9518132975151109E-2</v>
      </c>
      <c r="M206" t="s">
        <v>1785</v>
      </c>
    </row>
    <row r="207" spans="1:13" x14ac:dyDescent="0.3">
      <c r="A207">
        <v>206</v>
      </c>
      <c r="B207" t="s">
        <v>1476</v>
      </c>
      <c r="C207">
        <v>47</v>
      </c>
      <c r="D207">
        <v>80241</v>
      </c>
      <c r="E207" s="1">
        <v>940828</v>
      </c>
      <c r="F207">
        <v>0.11700000000000001</v>
      </c>
      <c r="G207">
        <v>15</v>
      </c>
      <c r="H207">
        <v>776</v>
      </c>
      <c r="I207">
        <v>6</v>
      </c>
      <c r="J207" s="1">
        <v>29522</v>
      </c>
      <c r="K207" s="24" t="s">
        <v>1772</v>
      </c>
      <c r="L207" s="7">
        <f>EV[[#This Row],[Current_Debt]]/EV[[#This Row],[Monthly_Income]]</f>
        <v>0.36791665108859561</v>
      </c>
      <c r="M207" t="s">
        <v>1786</v>
      </c>
    </row>
    <row r="208" spans="1:13" x14ac:dyDescent="0.3">
      <c r="A208">
        <v>207</v>
      </c>
      <c r="B208" t="s">
        <v>1477</v>
      </c>
      <c r="C208">
        <v>61</v>
      </c>
      <c r="D208">
        <v>32788</v>
      </c>
      <c r="E208" s="1">
        <v>575965</v>
      </c>
      <c r="F208">
        <v>9.1999999999999998E-2</v>
      </c>
      <c r="G208">
        <v>10</v>
      </c>
      <c r="H208">
        <v>708</v>
      </c>
      <c r="I208">
        <v>5</v>
      </c>
      <c r="J208" s="1">
        <v>17221</v>
      </c>
      <c r="K208" s="24" t="s">
        <v>1772</v>
      </c>
      <c r="L208" s="7">
        <f>EV[[#This Row],[Current_Debt]]/EV[[#This Row],[Monthly_Income]]</f>
        <v>0.52522264243015737</v>
      </c>
      <c r="M208" t="s">
        <v>1786</v>
      </c>
    </row>
    <row r="209" spans="1:13" x14ac:dyDescent="0.3">
      <c r="A209">
        <v>208</v>
      </c>
      <c r="B209" t="s">
        <v>1478</v>
      </c>
      <c r="C209">
        <v>39</v>
      </c>
      <c r="D209">
        <v>53195</v>
      </c>
      <c r="E209" s="1">
        <v>1540952</v>
      </c>
      <c r="F209">
        <v>0.105</v>
      </c>
      <c r="G209">
        <v>25</v>
      </c>
      <c r="H209">
        <v>633</v>
      </c>
      <c r="I209">
        <v>9</v>
      </c>
      <c r="J209" s="1">
        <v>45695</v>
      </c>
      <c r="K209" s="24" t="s">
        <v>1773</v>
      </c>
      <c r="L209" s="7">
        <f>EV[[#This Row],[Current_Debt]]/EV[[#This Row],[Monthly_Income]]</f>
        <v>0.85900930538584452</v>
      </c>
      <c r="M209" t="s">
        <v>2291</v>
      </c>
    </row>
    <row r="210" spans="1:13" x14ac:dyDescent="0.3">
      <c r="A210">
        <v>209</v>
      </c>
      <c r="B210" t="s">
        <v>1479</v>
      </c>
      <c r="C210">
        <v>54</v>
      </c>
      <c r="D210">
        <v>56404</v>
      </c>
      <c r="E210" s="1">
        <v>1569770</v>
      </c>
      <c r="F210">
        <v>8.6999999999999994E-2</v>
      </c>
      <c r="G210">
        <v>25</v>
      </c>
      <c r="H210">
        <v>694</v>
      </c>
      <c r="I210">
        <v>2</v>
      </c>
      <c r="J210" s="1">
        <v>17141</v>
      </c>
      <c r="K210" s="24" t="s">
        <v>1772</v>
      </c>
      <c r="L210" s="7">
        <f>EV[[#This Row],[Current_Debt]]/EV[[#This Row],[Monthly_Income]]</f>
        <v>0.30389688674562088</v>
      </c>
      <c r="M210" t="s">
        <v>1786</v>
      </c>
    </row>
    <row r="211" spans="1:13" x14ac:dyDescent="0.3">
      <c r="A211">
        <v>210</v>
      </c>
      <c r="B211" t="s">
        <v>1480</v>
      </c>
      <c r="C211">
        <v>54</v>
      </c>
      <c r="D211">
        <v>55629</v>
      </c>
      <c r="E211" s="1">
        <v>650159</v>
      </c>
      <c r="F211">
        <v>9.6000000000000002E-2</v>
      </c>
      <c r="G211">
        <v>10</v>
      </c>
      <c r="H211">
        <v>847</v>
      </c>
      <c r="I211">
        <v>15</v>
      </c>
      <c r="J211" s="1">
        <v>24268</v>
      </c>
      <c r="K211" s="24" t="s">
        <v>1772</v>
      </c>
      <c r="L211" s="7">
        <f>EV[[#This Row],[Current_Debt]]/EV[[#This Row],[Monthly_Income]]</f>
        <v>0.4362472810943932</v>
      </c>
      <c r="M211" t="s">
        <v>1786</v>
      </c>
    </row>
    <row r="212" spans="1:13" x14ac:dyDescent="0.3">
      <c r="A212">
        <v>211</v>
      </c>
      <c r="B212" t="s">
        <v>1481</v>
      </c>
      <c r="C212">
        <v>26</v>
      </c>
      <c r="D212">
        <v>37671</v>
      </c>
      <c r="E212" s="1">
        <v>1571618</v>
      </c>
      <c r="F212">
        <v>8.1000000000000003E-2</v>
      </c>
      <c r="G212">
        <v>20</v>
      </c>
      <c r="H212">
        <v>736</v>
      </c>
      <c r="I212">
        <v>12</v>
      </c>
      <c r="J212" s="1">
        <v>49559</v>
      </c>
      <c r="K212" s="24" t="s">
        <v>1772</v>
      </c>
      <c r="L212" s="7">
        <f>EV[[#This Row],[Current_Debt]]/EV[[#This Row],[Monthly_Income]]</f>
        <v>1.3155743144593985</v>
      </c>
      <c r="M212" t="s">
        <v>1786</v>
      </c>
    </row>
    <row r="213" spans="1:13" x14ac:dyDescent="0.3">
      <c r="A213">
        <v>212</v>
      </c>
      <c r="B213" t="s">
        <v>1482</v>
      </c>
      <c r="C213">
        <v>33</v>
      </c>
      <c r="D213">
        <v>42512</v>
      </c>
      <c r="E213" s="1">
        <v>2309552</v>
      </c>
      <c r="F213">
        <v>0.11899999999999999</v>
      </c>
      <c r="G213">
        <v>25</v>
      </c>
      <c r="H213">
        <v>797</v>
      </c>
      <c r="I213">
        <v>0</v>
      </c>
      <c r="J213" s="1">
        <v>47517</v>
      </c>
      <c r="K213" s="24" t="s">
        <v>1772</v>
      </c>
      <c r="L213" s="7">
        <f>EV[[#This Row],[Current_Debt]]/EV[[#This Row],[Monthly_Income]]</f>
        <v>1.1177314640572074</v>
      </c>
      <c r="M213" t="s">
        <v>1786</v>
      </c>
    </row>
    <row r="214" spans="1:13" x14ac:dyDescent="0.3">
      <c r="A214">
        <v>213</v>
      </c>
      <c r="B214" t="s">
        <v>1483</v>
      </c>
      <c r="C214">
        <v>45</v>
      </c>
      <c r="D214">
        <v>28675</v>
      </c>
      <c r="E214" s="1">
        <v>1999667</v>
      </c>
      <c r="F214">
        <v>0.106</v>
      </c>
      <c r="G214">
        <v>25</v>
      </c>
      <c r="H214">
        <v>834</v>
      </c>
      <c r="I214">
        <v>0</v>
      </c>
      <c r="J214" s="1">
        <v>16642</v>
      </c>
      <c r="K214" s="24" t="s">
        <v>1772</v>
      </c>
      <c r="L214" s="7">
        <f>EV[[#This Row],[Current_Debt]]/EV[[#This Row],[Monthly_Income]]</f>
        <v>0.58036617262423718</v>
      </c>
      <c r="M214" t="s">
        <v>1786</v>
      </c>
    </row>
    <row r="215" spans="1:13" x14ac:dyDescent="0.3">
      <c r="A215">
        <v>214</v>
      </c>
      <c r="B215" t="s">
        <v>1484</v>
      </c>
      <c r="C215">
        <v>65</v>
      </c>
      <c r="D215">
        <v>50649</v>
      </c>
      <c r="E215" s="1">
        <v>754708</v>
      </c>
      <c r="F215">
        <v>0.108</v>
      </c>
      <c r="G215">
        <v>15</v>
      </c>
      <c r="H215">
        <v>642</v>
      </c>
      <c r="I215">
        <v>0</v>
      </c>
      <c r="J215" s="1">
        <v>46310</v>
      </c>
      <c r="K215" s="24" t="s">
        <v>1773</v>
      </c>
      <c r="L215" s="7">
        <f>EV[[#This Row],[Current_Debt]]/EV[[#This Row],[Monthly_Income]]</f>
        <v>0.91433197101620955</v>
      </c>
      <c r="M215" t="s">
        <v>2291</v>
      </c>
    </row>
    <row r="216" spans="1:13" x14ac:dyDescent="0.3">
      <c r="A216">
        <v>215</v>
      </c>
      <c r="B216" t="s">
        <v>1485</v>
      </c>
      <c r="C216">
        <v>32</v>
      </c>
      <c r="D216">
        <v>16292</v>
      </c>
      <c r="E216" s="1">
        <v>1153215</v>
      </c>
      <c r="F216">
        <v>9.1999999999999998E-2</v>
      </c>
      <c r="G216">
        <v>30</v>
      </c>
      <c r="H216">
        <v>765</v>
      </c>
      <c r="I216">
        <v>14</v>
      </c>
      <c r="J216" s="1">
        <v>38717</v>
      </c>
      <c r="K216" s="24" t="s">
        <v>1772</v>
      </c>
      <c r="L216" s="7">
        <f>EV[[#This Row],[Current_Debt]]/EV[[#This Row],[Monthly_Income]]</f>
        <v>2.3764424257304197</v>
      </c>
      <c r="M216" t="s">
        <v>1786</v>
      </c>
    </row>
    <row r="217" spans="1:13" x14ac:dyDescent="0.3">
      <c r="A217">
        <v>216</v>
      </c>
      <c r="B217" t="s">
        <v>1486</v>
      </c>
      <c r="C217">
        <v>56</v>
      </c>
      <c r="D217">
        <v>89667</v>
      </c>
      <c r="E217" s="1">
        <v>2415712</v>
      </c>
      <c r="F217">
        <v>8.5000000000000006E-2</v>
      </c>
      <c r="G217">
        <v>10</v>
      </c>
      <c r="H217">
        <v>696</v>
      </c>
      <c r="I217">
        <v>14</v>
      </c>
      <c r="J217" s="1">
        <v>8680</v>
      </c>
      <c r="K217" s="24" t="s">
        <v>1774</v>
      </c>
      <c r="L217" s="7">
        <f>EV[[#This Row],[Current_Debt]]/EV[[#This Row],[Monthly_Income]]</f>
        <v>9.680261411667615E-2</v>
      </c>
      <c r="M217" t="s">
        <v>2290</v>
      </c>
    </row>
    <row r="218" spans="1:13" x14ac:dyDescent="0.3">
      <c r="A218">
        <v>217</v>
      </c>
      <c r="B218" t="s">
        <v>1487</v>
      </c>
      <c r="C218">
        <v>62</v>
      </c>
      <c r="D218">
        <v>65744</v>
      </c>
      <c r="E218" s="1">
        <v>1299341</v>
      </c>
      <c r="F218">
        <v>0.111</v>
      </c>
      <c r="G218">
        <v>10</v>
      </c>
      <c r="H218">
        <v>689</v>
      </c>
      <c r="I218">
        <v>10</v>
      </c>
      <c r="J218" s="1">
        <v>34575</v>
      </c>
      <c r="K218" s="24" t="s">
        <v>1772</v>
      </c>
      <c r="L218" s="7">
        <f>EV[[#This Row],[Current_Debt]]/EV[[#This Row],[Monthly_Income]]</f>
        <v>0.52590350450231205</v>
      </c>
      <c r="M218" t="s">
        <v>1786</v>
      </c>
    </row>
    <row r="219" spans="1:13" x14ac:dyDescent="0.3">
      <c r="A219">
        <v>218</v>
      </c>
      <c r="B219" t="s">
        <v>1488</v>
      </c>
      <c r="C219">
        <v>57</v>
      </c>
      <c r="D219">
        <v>16863</v>
      </c>
      <c r="E219" s="1">
        <v>1300775</v>
      </c>
      <c r="F219">
        <v>8.8999999999999996E-2</v>
      </c>
      <c r="G219">
        <v>25</v>
      </c>
      <c r="H219">
        <v>605</v>
      </c>
      <c r="I219">
        <v>1</v>
      </c>
      <c r="J219" s="1">
        <v>6751</v>
      </c>
      <c r="K219" s="24" t="s">
        <v>1773</v>
      </c>
      <c r="L219" s="7">
        <f>EV[[#This Row],[Current_Debt]]/EV[[#This Row],[Monthly_Income]]</f>
        <v>0.40034394828915376</v>
      </c>
      <c r="M219" t="s">
        <v>2291</v>
      </c>
    </row>
    <row r="220" spans="1:13" x14ac:dyDescent="0.3">
      <c r="A220">
        <v>219</v>
      </c>
      <c r="B220" t="s">
        <v>1489</v>
      </c>
      <c r="C220">
        <v>28</v>
      </c>
      <c r="D220">
        <v>116664</v>
      </c>
      <c r="E220" s="1">
        <v>1726090</v>
      </c>
      <c r="F220">
        <v>8.7999999999999995E-2</v>
      </c>
      <c r="G220">
        <v>15</v>
      </c>
      <c r="H220">
        <v>830</v>
      </c>
      <c r="I220">
        <v>10</v>
      </c>
      <c r="J220" s="1">
        <v>3473</v>
      </c>
      <c r="K220" s="26" t="s">
        <v>1774</v>
      </c>
      <c r="L220" s="7">
        <f>EV[[#This Row],[Current_Debt]]/EV[[#This Row],[Monthly_Income]]</f>
        <v>2.9769251868614139E-2</v>
      </c>
      <c r="M220" t="s">
        <v>1785</v>
      </c>
    </row>
    <row r="221" spans="1:13" x14ac:dyDescent="0.3">
      <c r="A221">
        <v>220</v>
      </c>
      <c r="B221" t="s">
        <v>1490</v>
      </c>
      <c r="C221">
        <v>51</v>
      </c>
      <c r="D221">
        <v>23805</v>
      </c>
      <c r="E221" s="1">
        <v>1767012</v>
      </c>
      <c r="F221">
        <v>9.1999999999999998E-2</v>
      </c>
      <c r="G221">
        <v>10</v>
      </c>
      <c r="H221">
        <v>636</v>
      </c>
      <c r="I221">
        <v>13</v>
      </c>
      <c r="J221" s="1">
        <v>4476</v>
      </c>
      <c r="K221" s="24" t="s">
        <v>1773</v>
      </c>
      <c r="L221" s="7">
        <f>EV[[#This Row],[Current_Debt]]/EV[[#This Row],[Monthly_Income]]</f>
        <v>0.18802772526780087</v>
      </c>
      <c r="M221" t="s">
        <v>2291</v>
      </c>
    </row>
    <row r="222" spans="1:13" x14ac:dyDescent="0.3">
      <c r="A222">
        <v>221</v>
      </c>
      <c r="B222" t="s">
        <v>1491</v>
      </c>
      <c r="C222">
        <v>63</v>
      </c>
      <c r="D222">
        <v>92308</v>
      </c>
      <c r="E222" s="1">
        <v>1779959</v>
      </c>
      <c r="F222">
        <v>9.2999999999999999E-2</v>
      </c>
      <c r="G222">
        <v>20</v>
      </c>
      <c r="H222">
        <v>758</v>
      </c>
      <c r="I222">
        <v>6</v>
      </c>
      <c r="J222" s="1">
        <v>37113</v>
      </c>
      <c r="K222" s="24" t="s">
        <v>1772</v>
      </c>
      <c r="L222" s="7">
        <f>EV[[#This Row],[Current_Debt]]/EV[[#This Row],[Monthly_Income]]</f>
        <v>0.40205615981280063</v>
      </c>
      <c r="M222" t="s">
        <v>1786</v>
      </c>
    </row>
    <row r="223" spans="1:13" x14ac:dyDescent="0.3">
      <c r="A223">
        <v>222</v>
      </c>
      <c r="B223" t="s">
        <v>1492</v>
      </c>
      <c r="C223">
        <v>22</v>
      </c>
      <c r="D223">
        <v>101871</v>
      </c>
      <c r="E223" s="1">
        <v>1916927</v>
      </c>
      <c r="F223">
        <v>8.6999999999999994E-2</v>
      </c>
      <c r="G223">
        <v>20</v>
      </c>
      <c r="H223">
        <v>832</v>
      </c>
      <c r="I223">
        <v>11</v>
      </c>
      <c r="J223" s="1">
        <v>39615</v>
      </c>
      <c r="K223" s="25" t="s">
        <v>1773</v>
      </c>
      <c r="L223" s="7">
        <f>EV[[#This Row],[Current_Debt]]/EV[[#This Row],[Monthly_Income]]</f>
        <v>0.38887416438436845</v>
      </c>
      <c r="M223" t="s">
        <v>1784</v>
      </c>
    </row>
    <row r="224" spans="1:13" x14ac:dyDescent="0.3">
      <c r="A224">
        <v>223</v>
      </c>
      <c r="B224" t="s">
        <v>1493</v>
      </c>
      <c r="C224">
        <v>44</v>
      </c>
      <c r="D224">
        <v>73466</v>
      </c>
      <c r="E224" s="1">
        <v>2478782</v>
      </c>
      <c r="F224">
        <v>9.7000000000000003E-2</v>
      </c>
      <c r="G224">
        <v>15</v>
      </c>
      <c r="H224">
        <v>711</v>
      </c>
      <c r="I224">
        <v>11</v>
      </c>
      <c r="J224" s="1">
        <v>11439</v>
      </c>
      <c r="K224" s="24" t="s">
        <v>1774</v>
      </c>
      <c r="L224" s="7">
        <f>EV[[#This Row],[Current_Debt]]/EV[[#This Row],[Monthly_Income]]</f>
        <v>0.15570467971578689</v>
      </c>
      <c r="M224" t="s">
        <v>1785</v>
      </c>
    </row>
    <row r="225" spans="1:13" x14ac:dyDescent="0.3">
      <c r="A225">
        <v>224</v>
      </c>
      <c r="B225" t="s">
        <v>1494</v>
      </c>
      <c r="C225">
        <v>34</v>
      </c>
      <c r="D225">
        <v>29499</v>
      </c>
      <c r="E225" s="1">
        <v>1982531</v>
      </c>
      <c r="F225">
        <v>0.10100000000000001</v>
      </c>
      <c r="G225">
        <v>30</v>
      </c>
      <c r="H225">
        <v>802</v>
      </c>
      <c r="I225">
        <v>13</v>
      </c>
      <c r="J225" s="1">
        <v>7986</v>
      </c>
      <c r="K225" s="26" t="s">
        <v>1774</v>
      </c>
      <c r="L225" s="7">
        <f>EV[[#This Row],[Current_Debt]]/EV[[#This Row],[Monthly_Income]]</f>
        <v>0.2707210413912336</v>
      </c>
      <c r="M225" t="s">
        <v>1785</v>
      </c>
    </row>
    <row r="226" spans="1:13" x14ac:dyDescent="0.3">
      <c r="A226">
        <v>225</v>
      </c>
      <c r="B226" t="s">
        <v>1495</v>
      </c>
      <c r="C226">
        <v>52</v>
      </c>
      <c r="D226">
        <v>117244</v>
      </c>
      <c r="E226" s="1">
        <v>1111040</v>
      </c>
      <c r="F226">
        <v>8.3000000000000004E-2</v>
      </c>
      <c r="G226">
        <v>15</v>
      </c>
      <c r="H226">
        <v>688</v>
      </c>
      <c r="I226">
        <v>9</v>
      </c>
      <c r="J226" s="1">
        <v>28768</v>
      </c>
      <c r="K226" s="24" t="s">
        <v>1772</v>
      </c>
      <c r="L226" s="7">
        <f>EV[[#This Row],[Current_Debt]]/EV[[#This Row],[Monthly_Income]]</f>
        <v>0.24536863293644023</v>
      </c>
      <c r="M226" t="s">
        <v>1786</v>
      </c>
    </row>
    <row r="227" spans="1:13" x14ac:dyDescent="0.3">
      <c r="A227">
        <v>226</v>
      </c>
      <c r="B227" t="s">
        <v>1496</v>
      </c>
      <c r="C227">
        <v>61</v>
      </c>
      <c r="D227">
        <v>61805</v>
      </c>
      <c r="E227" s="1">
        <v>2238610</v>
      </c>
      <c r="F227">
        <v>0.11600000000000001</v>
      </c>
      <c r="G227">
        <v>20</v>
      </c>
      <c r="H227">
        <v>692</v>
      </c>
      <c r="I227">
        <v>14</v>
      </c>
      <c r="J227" s="1">
        <v>27226</v>
      </c>
      <c r="K227" s="24" t="s">
        <v>1772</v>
      </c>
      <c r="L227" s="7">
        <f>EV[[#This Row],[Current_Debt]]/EV[[#This Row],[Monthly_Income]]</f>
        <v>0.44051452147884473</v>
      </c>
      <c r="M227" t="s">
        <v>1786</v>
      </c>
    </row>
    <row r="228" spans="1:13" x14ac:dyDescent="0.3">
      <c r="A228">
        <v>227</v>
      </c>
      <c r="B228" t="s">
        <v>1497</v>
      </c>
      <c r="C228">
        <v>32</v>
      </c>
      <c r="D228">
        <v>63017</v>
      </c>
      <c r="E228" s="1">
        <v>1337865</v>
      </c>
      <c r="F228">
        <v>0.114</v>
      </c>
      <c r="G228">
        <v>15</v>
      </c>
      <c r="H228">
        <v>619</v>
      </c>
      <c r="I228">
        <v>11</v>
      </c>
      <c r="J228" s="1">
        <v>37085</v>
      </c>
      <c r="K228" s="24" t="s">
        <v>1773</v>
      </c>
      <c r="L228" s="7">
        <f>EV[[#This Row],[Current_Debt]]/EV[[#This Row],[Monthly_Income]]</f>
        <v>0.58849199422378085</v>
      </c>
      <c r="M228" t="s">
        <v>2291</v>
      </c>
    </row>
    <row r="229" spans="1:13" x14ac:dyDescent="0.3">
      <c r="A229">
        <v>228</v>
      </c>
      <c r="B229" t="s">
        <v>1498</v>
      </c>
      <c r="C229">
        <v>60</v>
      </c>
      <c r="D229">
        <v>30363</v>
      </c>
      <c r="E229" s="1">
        <v>1441709</v>
      </c>
      <c r="F229">
        <v>0.09</v>
      </c>
      <c r="G229">
        <v>15</v>
      </c>
      <c r="H229">
        <v>600</v>
      </c>
      <c r="I229">
        <v>11</v>
      </c>
      <c r="J229" s="1">
        <v>38610</v>
      </c>
      <c r="K229" s="24" t="s">
        <v>1773</v>
      </c>
      <c r="L229" s="7">
        <f>EV[[#This Row],[Current_Debt]]/EV[[#This Row],[Monthly_Income]]</f>
        <v>1.2716134769291572</v>
      </c>
      <c r="M229" t="s">
        <v>2291</v>
      </c>
    </row>
    <row r="230" spans="1:13" x14ac:dyDescent="0.3">
      <c r="A230">
        <v>229</v>
      </c>
      <c r="B230" t="s">
        <v>1499</v>
      </c>
      <c r="C230">
        <v>55</v>
      </c>
      <c r="D230">
        <v>115452</v>
      </c>
      <c r="E230" s="1">
        <v>1965821</v>
      </c>
      <c r="F230">
        <v>9.8000000000000004E-2</v>
      </c>
      <c r="G230">
        <v>15</v>
      </c>
      <c r="H230">
        <v>780</v>
      </c>
      <c r="I230">
        <v>13</v>
      </c>
      <c r="J230" s="1">
        <v>29253</v>
      </c>
      <c r="K230" s="24" t="s">
        <v>1772</v>
      </c>
      <c r="L230" s="7">
        <f>EV[[#This Row],[Current_Debt]]/EV[[#This Row],[Monthly_Income]]</f>
        <v>0.25337802723209646</v>
      </c>
      <c r="M230" t="s">
        <v>1786</v>
      </c>
    </row>
    <row r="231" spans="1:13" x14ac:dyDescent="0.3">
      <c r="A231">
        <v>230</v>
      </c>
      <c r="B231" t="s">
        <v>1500</v>
      </c>
      <c r="C231">
        <v>39</v>
      </c>
      <c r="D231">
        <v>19159</v>
      </c>
      <c r="E231" s="1">
        <v>2280327</v>
      </c>
      <c r="F231">
        <v>0.115</v>
      </c>
      <c r="G231">
        <v>30</v>
      </c>
      <c r="H231">
        <v>688</v>
      </c>
      <c r="I231">
        <v>4</v>
      </c>
      <c r="J231" s="1">
        <v>29710</v>
      </c>
      <c r="K231" s="24" t="s">
        <v>1772</v>
      </c>
      <c r="L231" s="7">
        <f>EV[[#This Row],[Current_Debt]]/EV[[#This Row],[Monthly_Income]]</f>
        <v>1.5507072394175061</v>
      </c>
      <c r="M231" t="s">
        <v>1786</v>
      </c>
    </row>
    <row r="232" spans="1:13" x14ac:dyDescent="0.3">
      <c r="A232">
        <v>231</v>
      </c>
      <c r="B232" t="s">
        <v>1501</v>
      </c>
      <c r="C232">
        <v>28</v>
      </c>
      <c r="D232">
        <v>89448</v>
      </c>
      <c r="E232" s="1">
        <v>1156679</v>
      </c>
      <c r="F232">
        <v>8.6999999999999994E-2</v>
      </c>
      <c r="G232">
        <v>25</v>
      </c>
      <c r="H232">
        <v>785</v>
      </c>
      <c r="I232">
        <v>13</v>
      </c>
      <c r="J232" s="1">
        <v>1827</v>
      </c>
      <c r="K232" s="26" t="s">
        <v>1774</v>
      </c>
      <c r="L232" s="7">
        <f>EV[[#This Row],[Current_Debt]]/EV[[#This Row],[Monthly_Income]]</f>
        <v>2.0425275020123423E-2</v>
      </c>
      <c r="M232" t="s">
        <v>1785</v>
      </c>
    </row>
    <row r="233" spans="1:13" x14ac:dyDescent="0.3">
      <c r="A233">
        <v>232</v>
      </c>
      <c r="B233" t="s">
        <v>1502</v>
      </c>
      <c r="C233">
        <v>50</v>
      </c>
      <c r="D233">
        <v>86306</v>
      </c>
      <c r="E233" s="1">
        <v>2339666</v>
      </c>
      <c r="F233">
        <v>0.104</v>
      </c>
      <c r="G233">
        <v>20</v>
      </c>
      <c r="H233">
        <v>687</v>
      </c>
      <c r="I233">
        <v>11</v>
      </c>
      <c r="J233" s="1">
        <v>20871</v>
      </c>
      <c r="K233" s="24" t="s">
        <v>1772</v>
      </c>
      <c r="L233" s="7">
        <f>EV[[#This Row],[Current_Debt]]/EV[[#This Row],[Monthly_Income]]</f>
        <v>0.24182559729335157</v>
      </c>
      <c r="M233" t="s">
        <v>1786</v>
      </c>
    </row>
    <row r="234" spans="1:13" x14ac:dyDescent="0.3">
      <c r="A234">
        <v>233</v>
      </c>
      <c r="B234" t="s">
        <v>1503</v>
      </c>
      <c r="C234">
        <v>33</v>
      </c>
      <c r="D234">
        <v>115091</v>
      </c>
      <c r="E234" s="1">
        <v>1172727</v>
      </c>
      <c r="F234">
        <v>8.1000000000000003E-2</v>
      </c>
      <c r="G234">
        <v>30</v>
      </c>
      <c r="H234">
        <v>749</v>
      </c>
      <c r="I234">
        <v>9</v>
      </c>
      <c r="J234" s="1">
        <v>28993</v>
      </c>
      <c r="K234" s="24" t="s">
        <v>1772</v>
      </c>
      <c r="L234" s="7">
        <f>EV[[#This Row],[Current_Debt]]/EV[[#This Row],[Monthly_Income]]</f>
        <v>0.25191370306974481</v>
      </c>
      <c r="M234" t="s">
        <v>1786</v>
      </c>
    </row>
    <row r="235" spans="1:13" x14ac:dyDescent="0.3">
      <c r="A235">
        <v>234</v>
      </c>
      <c r="B235" t="s">
        <v>1504</v>
      </c>
      <c r="C235">
        <v>62</v>
      </c>
      <c r="D235">
        <v>112101</v>
      </c>
      <c r="E235" s="1">
        <v>1931749</v>
      </c>
      <c r="F235">
        <v>0.104</v>
      </c>
      <c r="G235">
        <v>20</v>
      </c>
      <c r="H235">
        <v>623</v>
      </c>
      <c r="I235">
        <v>3</v>
      </c>
      <c r="J235" s="1">
        <v>35262</v>
      </c>
      <c r="K235" s="24" t="s">
        <v>1773</v>
      </c>
      <c r="L235" s="7">
        <f>EV[[#This Row],[Current_Debt]]/EV[[#This Row],[Monthly_Income]]</f>
        <v>0.31455562394626274</v>
      </c>
      <c r="M235" t="s">
        <v>2291</v>
      </c>
    </row>
    <row r="236" spans="1:13" x14ac:dyDescent="0.3">
      <c r="A236">
        <v>235</v>
      </c>
      <c r="B236" t="s">
        <v>1505</v>
      </c>
      <c r="C236">
        <v>58</v>
      </c>
      <c r="D236">
        <v>31085</v>
      </c>
      <c r="E236" s="1">
        <v>1732646</v>
      </c>
      <c r="F236">
        <v>8.5000000000000006E-2</v>
      </c>
      <c r="G236">
        <v>10</v>
      </c>
      <c r="H236">
        <v>667</v>
      </c>
      <c r="I236">
        <v>10</v>
      </c>
      <c r="J236" s="1">
        <v>30382</v>
      </c>
      <c r="K236" s="24" t="s">
        <v>1772</v>
      </c>
      <c r="L236" s="7">
        <f>EV[[#This Row],[Current_Debt]]/EV[[#This Row],[Monthly_Income]]</f>
        <v>0.97738459063857164</v>
      </c>
      <c r="M236" t="s">
        <v>2292</v>
      </c>
    </row>
    <row r="237" spans="1:13" x14ac:dyDescent="0.3">
      <c r="A237">
        <v>236</v>
      </c>
      <c r="B237" t="s">
        <v>1506</v>
      </c>
      <c r="C237">
        <v>63</v>
      </c>
      <c r="D237">
        <v>80317</v>
      </c>
      <c r="E237" s="1">
        <v>607840</v>
      </c>
      <c r="F237">
        <v>0.108</v>
      </c>
      <c r="G237">
        <v>15</v>
      </c>
      <c r="H237">
        <v>701</v>
      </c>
      <c r="I237">
        <v>5</v>
      </c>
      <c r="J237" s="1">
        <v>47904</v>
      </c>
      <c r="K237" s="24" t="s">
        <v>1772</v>
      </c>
      <c r="L237" s="7">
        <f>EV[[#This Row],[Current_Debt]]/EV[[#This Row],[Monthly_Income]]</f>
        <v>0.59643661989367136</v>
      </c>
      <c r="M237" t="s">
        <v>1786</v>
      </c>
    </row>
    <row r="238" spans="1:13" x14ac:dyDescent="0.3">
      <c r="A238">
        <v>237</v>
      </c>
      <c r="B238" t="s">
        <v>1507</v>
      </c>
      <c r="C238">
        <v>20</v>
      </c>
      <c r="D238">
        <v>63123</v>
      </c>
      <c r="E238" s="1">
        <v>1979850</v>
      </c>
      <c r="F238">
        <v>9.9000000000000005E-2</v>
      </c>
      <c r="G238">
        <v>30</v>
      </c>
      <c r="H238">
        <v>700</v>
      </c>
      <c r="I238">
        <v>8</v>
      </c>
      <c r="J238" s="1">
        <v>13184</v>
      </c>
      <c r="K238" s="25" t="s">
        <v>1773</v>
      </c>
      <c r="L238" s="7">
        <f>EV[[#This Row],[Current_Debt]]/EV[[#This Row],[Monthly_Income]]</f>
        <v>0.2088620629564501</v>
      </c>
      <c r="M238" t="s">
        <v>1784</v>
      </c>
    </row>
    <row r="239" spans="1:13" x14ac:dyDescent="0.3">
      <c r="A239">
        <v>238</v>
      </c>
      <c r="B239" t="s">
        <v>1508</v>
      </c>
      <c r="C239">
        <v>35</v>
      </c>
      <c r="D239">
        <v>81059</v>
      </c>
      <c r="E239" s="1">
        <v>1586116</v>
      </c>
      <c r="F239">
        <v>0.106</v>
      </c>
      <c r="G239">
        <v>15</v>
      </c>
      <c r="H239">
        <v>663</v>
      </c>
      <c r="I239">
        <v>7</v>
      </c>
      <c r="J239" s="1">
        <v>44975</v>
      </c>
      <c r="K239" s="24" t="s">
        <v>1772</v>
      </c>
      <c r="L239" s="7">
        <f>EV[[#This Row],[Current_Debt]]/EV[[#This Row],[Monthly_Income]]</f>
        <v>0.55484276884738282</v>
      </c>
      <c r="M239" t="s">
        <v>2292</v>
      </c>
    </row>
    <row r="240" spans="1:13" x14ac:dyDescent="0.3">
      <c r="A240">
        <v>239</v>
      </c>
      <c r="B240" t="s">
        <v>1509</v>
      </c>
      <c r="C240">
        <v>42</v>
      </c>
      <c r="D240">
        <v>102770</v>
      </c>
      <c r="E240" s="1">
        <v>1202832</v>
      </c>
      <c r="F240">
        <v>0.1</v>
      </c>
      <c r="G240">
        <v>25</v>
      </c>
      <c r="H240">
        <v>836</v>
      </c>
      <c r="I240">
        <v>14</v>
      </c>
      <c r="J240" s="1">
        <v>10992</v>
      </c>
      <c r="K240" s="24" t="s">
        <v>1774</v>
      </c>
      <c r="L240" s="7">
        <f>EV[[#This Row],[Current_Debt]]/EV[[#This Row],[Monthly_Income]]</f>
        <v>0.10695728325386786</v>
      </c>
      <c r="M240" t="s">
        <v>1785</v>
      </c>
    </row>
    <row r="241" spans="1:13" x14ac:dyDescent="0.3">
      <c r="A241">
        <v>240</v>
      </c>
      <c r="B241" t="s">
        <v>1510</v>
      </c>
      <c r="C241">
        <v>65</v>
      </c>
      <c r="D241">
        <v>46179</v>
      </c>
      <c r="E241" s="1">
        <v>1451972</v>
      </c>
      <c r="F241">
        <v>0.10299999999999999</v>
      </c>
      <c r="G241">
        <v>25</v>
      </c>
      <c r="H241">
        <v>794</v>
      </c>
      <c r="I241">
        <v>6</v>
      </c>
      <c r="J241" s="1">
        <v>15490</v>
      </c>
      <c r="K241" s="24" t="s">
        <v>1772</v>
      </c>
      <c r="L241" s="7">
        <f>EV[[#This Row],[Current_Debt]]/EV[[#This Row],[Monthly_Income]]</f>
        <v>0.33543385521557417</v>
      </c>
      <c r="M241" t="s">
        <v>1786</v>
      </c>
    </row>
    <row r="242" spans="1:13" x14ac:dyDescent="0.3">
      <c r="A242">
        <v>241</v>
      </c>
      <c r="B242" t="s">
        <v>1511</v>
      </c>
      <c r="C242">
        <v>28</v>
      </c>
      <c r="D242">
        <v>71647</v>
      </c>
      <c r="E242" s="1">
        <v>825908</v>
      </c>
      <c r="F242">
        <v>0.11600000000000001</v>
      </c>
      <c r="G242">
        <v>25</v>
      </c>
      <c r="H242">
        <v>632</v>
      </c>
      <c r="I242">
        <v>2</v>
      </c>
      <c r="J242" s="1">
        <v>18214</v>
      </c>
      <c r="K242" s="24" t="s">
        <v>1773</v>
      </c>
      <c r="L242" s="7">
        <f>EV[[#This Row],[Current_Debt]]/EV[[#This Row],[Monthly_Income]]</f>
        <v>0.25421859952265968</v>
      </c>
      <c r="M242" t="s">
        <v>2291</v>
      </c>
    </row>
    <row r="243" spans="1:13" x14ac:dyDescent="0.3">
      <c r="A243">
        <v>242</v>
      </c>
      <c r="B243" t="s">
        <v>1512</v>
      </c>
      <c r="C243">
        <v>36</v>
      </c>
      <c r="D243">
        <v>89658</v>
      </c>
      <c r="E243" s="1">
        <v>791847</v>
      </c>
      <c r="F243">
        <v>8.1000000000000003E-2</v>
      </c>
      <c r="G243">
        <v>15</v>
      </c>
      <c r="H243">
        <v>754</v>
      </c>
      <c r="I243">
        <v>15</v>
      </c>
      <c r="J243" s="1">
        <v>21972</v>
      </c>
      <c r="K243" s="24" t="s">
        <v>1772</v>
      </c>
      <c r="L243" s="7">
        <f>EV[[#This Row],[Current_Debt]]/EV[[#This Row],[Monthly_Income]]</f>
        <v>0.24506457873251689</v>
      </c>
      <c r="M243" t="s">
        <v>1786</v>
      </c>
    </row>
    <row r="244" spans="1:13" x14ac:dyDescent="0.3">
      <c r="A244">
        <v>243</v>
      </c>
      <c r="B244" t="s">
        <v>1513</v>
      </c>
      <c r="C244">
        <v>40</v>
      </c>
      <c r="D244">
        <v>77581</v>
      </c>
      <c r="E244" s="1">
        <v>1106997</v>
      </c>
      <c r="F244">
        <v>0.104</v>
      </c>
      <c r="G244">
        <v>30</v>
      </c>
      <c r="H244">
        <v>787</v>
      </c>
      <c r="I244">
        <v>9</v>
      </c>
      <c r="J244" s="1">
        <v>41533</v>
      </c>
      <c r="K244" s="24" t="s">
        <v>1772</v>
      </c>
      <c r="L244" s="7">
        <f>EV[[#This Row],[Current_Debt]]/EV[[#This Row],[Monthly_Income]]</f>
        <v>0.53535015016563336</v>
      </c>
      <c r="M244" t="s">
        <v>1786</v>
      </c>
    </row>
    <row r="245" spans="1:13" x14ac:dyDescent="0.3">
      <c r="A245">
        <v>244</v>
      </c>
      <c r="B245" t="s">
        <v>1514</v>
      </c>
      <c r="C245">
        <v>47</v>
      </c>
      <c r="D245">
        <v>55270</v>
      </c>
      <c r="E245" s="1">
        <v>1019916</v>
      </c>
      <c r="F245">
        <v>0.115</v>
      </c>
      <c r="G245">
        <v>30</v>
      </c>
      <c r="H245">
        <v>625</v>
      </c>
      <c r="I245">
        <v>1</v>
      </c>
      <c r="J245" s="1">
        <v>19178</v>
      </c>
      <c r="K245" s="24" t="s">
        <v>1773</v>
      </c>
      <c r="L245" s="7">
        <f>EV[[#This Row],[Current_Debt]]/EV[[#This Row],[Monthly_Income]]</f>
        <v>0.34698751583137327</v>
      </c>
      <c r="M245" t="s">
        <v>2291</v>
      </c>
    </row>
    <row r="246" spans="1:13" x14ac:dyDescent="0.3">
      <c r="A246">
        <v>245</v>
      </c>
      <c r="B246" t="s">
        <v>1515</v>
      </c>
      <c r="C246">
        <v>22</v>
      </c>
      <c r="D246">
        <v>54031</v>
      </c>
      <c r="E246" s="1">
        <v>1769112</v>
      </c>
      <c r="F246">
        <v>9.9000000000000005E-2</v>
      </c>
      <c r="G246">
        <v>20</v>
      </c>
      <c r="H246">
        <v>751</v>
      </c>
      <c r="I246">
        <v>13</v>
      </c>
      <c r="J246" s="1">
        <v>45407</v>
      </c>
      <c r="K246" s="25" t="s">
        <v>1773</v>
      </c>
      <c r="L246" s="7">
        <f>EV[[#This Row],[Current_Debt]]/EV[[#This Row],[Monthly_Income]]</f>
        <v>0.84038792545020446</v>
      </c>
      <c r="M246" t="s">
        <v>1784</v>
      </c>
    </row>
    <row r="247" spans="1:13" x14ac:dyDescent="0.3">
      <c r="A247">
        <v>246</v>
      </c>
      <c r="B247" t="s">
        <v>1516</v>
      </c>
      <c r="C247">
        <v>25</v>
      </c>
      <c r="D247">
        <v>116638</v>
      </c>
      <c r="E247" s="1">
        <v>532663</v>
      </c>
      <c r="F247">
        <v>8.3000000000000004E-2</v>
      </c>
      <c r="G247">
        <v>15</v>
      </c>
      <c r="H247">
        <v>616</v>
      </c>
      <c r="I247">
        <v>6</v>
      </c>
      <c r="J247" s="1">
        <v>38040</v>
      </c>
      <c r="K247" s="24" t="s">
        <v>1773</v>
      </c>
      <c r="L247" s="7">
        <f>EV[[#This Row],[Current_Debt]]/EV[[#This Row],[Monthly_Income]]</f>
        <v>0.32613727944580667</v>
      </c>
      <c r="M247" t="s">
        <v>2291</v>
      </c>
    </row>
    <row r="248" spans="1:13" x14ac:dyDescent="0.3">
      <c r="A248">
        <v>247</v>
      </c>
      <c r="B248" t="s">
        <v>1517</v>
      </c>
      <c r="C248">
        <v>21</v>
      </c>
      <c r="D248">
        <v>21920</v>
      </c>
      <c r="E248" s="1">
        <v>1883958</v>
      </c>
      <c r="F248">
        <v>8.3000000000000004E-2</v>
      </c>
      <c r="G248">
        <v>30</v>
      </c>
      <c r="H248">
        <v>780</v>
      </c>
      <c r="I248">
        <v>3</v>
      </c>
      <c r="J248" s="1">
        <v>40515</v>
      </c>
      <c r="K248" s="25" t="s">
        <v>1773</v>
      </c>
      <c r="L248" s="7">
        <f>EV[[#This Row],[Current_Debt]]/EV[[#This Row],[Monthly_Income]]</f>
        <v>1.8483120437956204</v>
      </c>
      <c r="M248" t="s">
        <v>1784</v>
      </c>
    </row>
    <row r="249" spans="1:13" x14ac:dyDescent="0.3">
      <c r="A249">
        <v>248</v>
      </c>
      <c r="B249" t="s">
        <v>1518</v>
      </c>
      <c r="C249">
        <v>43</v>
      </c>
      <c r="D249">
        <v>104612</v>
      </c>
      <c r="E249" s="1">
        <v>847680</v>
      </c>
      <c r="F249">
        <v>0.112</v>
      </c>
      <c r="G249">
        <v>20</v>
      </c>
      <c r="H249">
        <v>759</v>
      </c>
      <c r="I249">
        <v>8</v>
      </c>
      <c r="J249" s="1">
        <v>10408</v>
      </c>
      <c r="K249" s="24" t="s">
        <v>1774</v>
      </c>
      <c r="L249" s="7">
        <f>EV[[#This Row],[Current_Debt]]/EV[[#This Row],[Monthly_Income]]</f>
        <v>9.9491454135280849E-2</v>
      </c>
      <c r="M249" t="s">
        <v>1785</v>
      </c>
    </row>
    <row r="250" spans="1:13" x14ac:dyDescent="0.3">
      <c r="A250">
        <v>249</v>
      </c>
      <c r="B250" t="s">
        <v>1519</v>
      </c>
      <c r="C250">
        <v>37</v>
      </c>
      <c r="D250">
        <v>20632</v>
      </c>
      <c r="E250" s="1">
        <v>583265</v>
      </c>
      <c r="F250">
        <v>9.1999999999999998E-2</v>
      </c>
      <c r="G250">
        <v>25</v>
      </c>
      <c r="H250">
        <v>736</v>
      </c>
      <c r="I250">
        <v>4</v>
      </c>
      <c r="J250" s="1">
        <v>24357</v>
      </c>
      <c r="K250" s="24" t="s">
        <v>1772</v>
      </c>
      <c r="L250" s="7">
        <f>EV[[#This Row],[Current_Debt]]/EV[[#This Row],[Monthly_Income]]</f>
        <v>1.1805447848003101</v>
      </c>
      <c r="M250" t="s">
        <v>1786</v>
      </c>
    </row>
    <row r="251" spans="1:13" x14ac:dyDescent="0.3">
      <c r="A251">
        <v>250</v>
      </c>
      <c r="B251" t="s">
        <v>1520</v>
      </c>
      <c r="C251">
        <v>22</v>
      </c>
      <c r="D251">
        <v>92439</v>
      </c>
      <c r="E251" s="1">
        <v>1647970</v>
      </c>
      <c r="F251">
        <v>9.1999999999999998E-2</v>
      </c>
      <c r="G251">
        <v>10</v>
      </c>
      <c r="H251">
        <v>645</v>
      </c>
      <c r="I251">
        <v>4</v>
      </c>
      <c r="J251" s="1">
        <v>30783</v>
      </c>
      <c r="K251" s="25" t="s">
        <v>1773</v>
      </c>
      <c r="L251" s="7">
        <f>EV[[#This Row],[Current_Debt]]/EV[[#This Row],[Monthly_Income]]</f>
        <v>0.33300879498912794</v>
      </c>
      <c r="M251" t="s">
        <v>1784</v>
      </c>
    </row>
    <row r="252" spans="1:13" x14ac:dyDescent="0.3">
      <c r="A252">
        <v>251</v>
      </c>
      <c r="B252" t="s">
        <v>1521</v>
      </c>
      <c r="C252">
        <v>61</v>
      </c>
      <c r="D252">
        <v>49969</v>
      </c>
      <c r="E252" s="1">
        <v>893536</v>
      </c>
      <c r="F252">
        <v>9.9000000000000005E-2</v>
      </c>
      <c r="G252">
        <v>25</v>
      </c>
      <c r="H252">
        <v>613</v>
      </c>
      <c r="I252">
        <v>0</v>
      </c>
      <c r="J252" s="1">
        <v>9538</v>
      </c>
      <c r="K252" s="24" t="s">
        <v>1773</v>
      </c>
      <c r="L252" s="7">
        <f>EV[[#This Row],[Current_Debt]]/EV[[#This Row],[Monthly_Income]]</f>
        <v>0.19087834457363564</v>
      </c>
      <c r="M252" t="s">
        <v>2291</v>
      </c>
    </row>
    <row r="253" spans="1:13" x14ac:dyDescent="0.3">
      <c r="A253">
        <v>252</v>
      </c>
      <c r="B253" t="s">
        <v>1522</v>
      </c>
      <c r="C253">
        <v>29</v>
      </c>
      <c r="D253">
        <v>87678</v>
      </c>
      <c r="E253" s="1">
        <v>1928825</v>
      </c>
      <c r="F253">
        <v>0.113</v>
      </c>
      <c r="G253">
        <v>20</v>
      </c>
      <c r="H253">
        <v>607</v>
      </c>
      <c r="I253">
        <v>14</v>
      </c>
      <c r="J253" s="1">
        <v>9861</v>
      </c>
      <c r="K253" s="24" t="s">
        <v>1773</v>
      </c>
      <c r="L253" s="7">
        <f>EV[[#This Row],[Current_Debt]]/EV[[#This Row],[Monthly_Income]]</f>
        <v>0.11246835009922672</v>
      </c>
      <c r="M253" t="s">
        <v>2291</v>
      </c>
    </row>
    <row r="254" spans="1:13" x14ac:dyDescent="0.3">
      <c r="A254">
        <v>253</v>
      </c>
      <c r="B254" t="s">
        <v>1523</v>
      </c>
      <c r="C254">
        <v>47</v>
      </c>
      <c r="D254">
        <v>61993</v>
      </c>
      <c r="E254" s="1">
        <v>2158630</v>
      </c>
      <c r="F254">
        <v>0.11899999999999999</v>
      </c>
      <c r="G254">
        <v>25</v>
      </c>
      <c r="H254">
        <v>629</v>
      </c>
      <c r="I254">
        <v>15</v>
      </c>
      <c r="J254" s="1">
        <v>14958</v>
      </c>
      <c r="K254" s="24" t="s">
        <v>1773</v>
      </c>
      <c r="L254" s="7">
        <f>EV[[#This Row],[Current_Debt]]/EV[[#This Row],[Monthly_Income]]</f>
        <v>0.24128530640556192</v>
      </c>
      <c r="M254" t="s">
        <v>2291</v>
      </c>
    </row>
    <row r="255" spans="1:13" x14ac:dyDescent="0.3">
      <c r="A255">
        <v>254</v>
      </c>
      <c r="B255" t="s">
        <v>1524</v>
      </c>
      <c r="C255">
        <v>30</v>
      </c>
      <c r="D255">
        <v>90695</v>
      </c>
      <c r="E255" s="1">
        <v>905501</v>
      </c>
      <c r="F255">
        <v>9.5000000000000001E-2</v>
      </c>
      <c r="G255">
        <v>10</v>
      </c>
      <c r="H255">
        <v>809</v>
      </c>
      <c r="I255">
        <v>5</v>
      </c>
      <c r="J255" s="1">
        <v>13605</v>
      </c>
      <c r="K255" s="24" t="s">
        <v>1774</v>
      </c>
      <c r="L255" s="7">
        <f>EV[[#This Row],[Current_Debt]]/EV[[#This Row],[Monthly_Income]]</f>
        <v>0.15000826947461271</v>
      </c>
      <c r="M255" t="s">
        <v>1785</v>
      </c>
    </row>
    <row r="256" spans="1:13" x14ac:dyDescent="0.3">
      <c r="A256">
        <v>255</v>
      </c>
      <c r="B256" t="s">
        <v>1525</v>
      </c>
      <c r="C256">
        <v>34</v>
      </c>
      <c r="D256">
        <v>48729</v>
      </c>
      <c r="E256" s="1">
        <v>2343196</v>
      </c>
      <c r="F256">
        <v>0.10100000000000001</v>
      </c>
      <c r="G256">
        <v>10</v>
      </c>
      <c r="H256">
        <v>817</v>
      </c>
      <c r="I256">
        <v>9</v>
      </c>
      <c r="J256" s="1">
        <v>6260</v>
      </c>
      <c r="K256" s="26" t="s">
        <v>1774</v>
      </c>
      <c r="L256" s="7">
        <f>EV[[#This Row],[Current_Debt]]/EV[[#This Row],[Monthly_Income]]</f>
        <v>0.12846559543598268</v>
      </c>
      <c r="M256" t="s">
        <v>1785</v>
      </c>
    </row>
    <row r="257" spans="1:13" x14ac:dyDescent="0.3">
      <c r="A257">
        <v>256</v>
      </c>
      <c r="B257" t="s">
        <v>1526</v>
      </c>
      <c r="C257">
        <v>57</v>
      </c>
      <c r="D257">
        <v>41610</v>
      </c>
      <c r="E257" s="1">
        <v>2203899</v>
      </c>
      <c r="F257">
        <v>0.11899999999999999</v>
      </c>
      <c r="G257">
        <v>10</v>
      </c>
      <c r="H257">
        <v>704</v>
      </c>
      <c r="I257">
        <v>12</v>
      </c>
      <c r="J257" s="1">
        <v>31073</v>
      </c>
      <c r="K257" s="24" t="s">
        <v>1772</v>
      </c>
      <c r="L257" s="7">
        <f>EV[[#This Row],[Current_Debt]]/EV[[#This Row],[Monthly_Income]]</f>
        <v>0.74676760394136021</v>
      </c>
      <c r="M257" t="s">
        <v>1786</v>
      </c>
    </row>
    <row r="258" spans="1:13" x14ac:dyDescent="0.3">
      <c r="A258">
        <v>257</v>
      </c>
      <c r="B258" t="s">
        <v>1527</v>
      </c>
      <c r="C258">
        <v>23</v>
      </c>
      <c r="D258">
        <v>60789</v>
      </c>
      <c r="E258" s="1">
        <v>2487430</v>
      </c>
      <c r="F258">
        <v>0.09</v>
      </c>
      <c r="G258">
        <v>25</v>
      </c>
      <c r="H258">
        <v>610</v>
      </c>
      <c r="I258">
        <v>7</v>
      </c>
      <c r="J258" s="1">
        <v>2116</v>
      </c>
      <c r="K258" s="25" t="s">
        <v>1773</v>
      </c>
      <c r="L258" s="7">
        <f>EV[[#This Row],[Current_Debt]]/EV[[#This Row],[Monthly_Income]]</f>
        <v>3.4808929247067723E-2</v>
      </c>
      <c r="M258" t="s">
        <v>1784</v>
      </c>
    </row>
    <row r="259" spans="1:13" x14ac:dyDescent="0.3">
      <c r="A259">
        <v>258</v>
      </c>
      <c r="B259" t="s">
        <v>1528</v>
      </c>
      <c r="C259">
        <v>49</v>
      </c>
      <c r="D259">
        <v>87210</v>
      </c>
      <c r="E259" s="1">
        <v>1335845</v>
      </c>
      <c r="F259">
        <v>9.0999999999999998E-2</v>
      </c>
      <c r="G259">
        <v>30</v>
      </c>
      <c r="H259">
        <v>660</v>
      </c>
      <c r="I259">
        <v>12</v>
      </c>
      <c r="J259" s="1">
        <v>32991</v>
      </c>
      <c r="K259" s="24" t="s">
        <v>1772</v>
      </c>
      <c r="L259" s="7">
        <f>EV[[#This Row],[Current_Debt]]/EV[[#This Row],[Monthly_Income]]</f>
        <v>0.37829377364981082</v>
      </c>
      <c r="M259" t="s">
        <v>2292</v>
      </c>
    </row>
    <row r="260" spans="1:13" x14ac:dyDescent="0.3">
      <c r="A260">
        <v>259</v>
      </c>
      <c r="B260" t="s">
        <v>1529</v>
      </c>
      <c r="C260">
        <v>31</v>
      </c>
      <c r="D260">
        <v>24702</v>
      </c>
      <c r="E260" s="1">
        <v>576692</v>
      </c>
      <c r="F260">
        <v>0.11600000000000001</v>
      </c>
      <c r="G260">
        <v>15</v>
      </c>
      <c r="H260">
        <v>633</v>
      </c>
      <c r="I260">
        <v>0</v>
      </c>
      <c r="J260" s="1">
        <v>15130</v>
      </c>
      <c r="K260" s="24" t="s">
        <v>1773</v>
      </c>
      <c r="L260" s="7">
        <f>EV[[#This Row],[Current_Debt]]/EV[[#This Row],[Monthly_Income]]</f>
        <v>0.61250101206380048</v>
      </c>
      <c r="M260" t="s">
        <v>2291</v>
      </c>
    </row>
    <row r="261" spans="1:13" x14ac:dyDescent="0.3">
      <c r="A261">
        <v>260</v>
      </c>
      <c r="B261" t="s">
        <v>1530</v>
      </c>
      <c r="C261">
        <v>54</v>
      </c>
      <c r="D261">
        <v>108121</v>
      </c>
      <c r="E261" s="1">
        <v>2314655</v>
      </c>
      <c r="F261">
        <v>9.6000000000000002E-2</v>
      </c>
      <c r="G261">
        <v>10</v>
      </c>
      <c r="H261">
        <v>792</v>
      </c>
      <c r="I261">
        <v>10</v>
      </c>
      <c r="J261" s="1">
        <v>35892</v>
      </c>
      <c r="K261" s="24" t="s">
        <v>1772</v>
      </c>
      <c r="L261" s="7">
        <f>EV[[#This Row],[Current_Debt]]/EV[[#This Row],[Monthly_Income]]</f>
        <v>0.33196141360142806</v>
      </c>
      <c r="M261" t="s">
        <v>1786</v>
      </c>
    </row>
    <row r="262" spans="1:13" x14ac:dyDescent="0.3">
      <c r="A262">
        <v>261</v>
      </c>
      <c r="B262" t="s">
        <v>1531</v>
      </c>
      <c r="C262">
        <v>64</v>
      </c>
      <c r="D262">
        <v>119076</v>
      </c>
      <c r="E262" s="1">
        <v>2007305</v>
      </c>
      <c r="F262">
        <v>8.5000000000000006E-2</v>
      </c>
      <c r="G262">
        <v>25</v>
      </c>
      <c r="H262">
        <v>827</v>
      </c>
      <c r="I262">
        <v>14</v>
      </c>
      <c r="J262" s="1">
        <v>35556</v>
      </c>
      <c r="K262" s="24" t="s">
        <v>1772</v>
      </c>
      <c r="L262" s="7">
        <f>EV[[#This Row],[Current_Debt]]/EV[[#This Row],[Monthly_Income]]</f>
        <v>0.29859921394739491</v>
      </c>
      <c r="M262" t="s">
        <v>1786</v>
      </c>
    </row>
    <row r="263" spans="1:13" x14ac:dyDescent="0.3">
      <c r="A263">
        <v>262</v>
      </c>
      <c r="B263" t="s">
        <v>1532</v>
      </c>
      <c r="C263">
        <v>27</v>
      </c>
      <c r="D263">
        <v>110957</v>
      </c>
      <c r="E263" s="1">
        <v>1548718</v>
      </c>
      <c r="F263">
        <v>8.7999999999999995E-2</v>
      </c>
      <c r="G263">
        <v>10</v>
      </c>
      <c r="H263">
        <v>629</v>
      </c>
      <c r="I263">
        <v>15</v>
      </c>
      <c r="J263" s="1">
        <v>11983</v>
      </c>
      <c r="K263" s="24" t="s">
        <v>1773</v>
      </c>
      <c r="L263" s="7">
        <f>EV[[#This Row],[Current_Debt]]/EV[[#This Row],[Monthly_Income]]</f>
        <v>0.10799679154987968</v>
      </c>
      <c r="M263" t="s">
        <v>2291</v>
      </c>
    </row>
    <row r="264" spans="1:13" x14ac:dyDescent="0.3">
      <c r="A264">
        <v>263</v>
      </c>
      <c r="B264" t="s">
        <v>1533</v>
      </c>
      <c r="C264">
        <v>22</v>
      </c>
      <c r="D264">
        <v>118926</v>
      </c>
      <c r="E264" s="1">
        <v>1933972</v>
      </c>
      <c r="F264">
        <v>0.10199999999999999</v>
      </c>
      <c r="G264">
        <v>15</v>
      </c>
      <c r="H264">
        <v>617</v>
      </c>
      <c r="I264">
        <v>14</v>
      </c>
      <c r="J264" s="1">
        <v>30964</v>
      </c>
      <c r="K264" s="25" t="s">
        <v>1773</v>
      </c>
      <c r="L264" s="7">
        <f>EV[[#This Row],[Current_Debt]]/EV[[#This Row],[Monthly_Income]]</f>
        <v>0.26036358744092963</v>
      </c>
      <c r="M264" t="s">
        <v>1784</v>
      </c>
    </row>
    <row r="265" spans="1:13" x14ac:dyDescent="0.3">
      <c r="A265">
        <v>264</v>
      </c>
      <c r="B265" t="s">
        <v>1534</v>
      </c>
      <c r="C265">
        <v>62</v>
      </c>
      <c r="D265">
        <v>72338</v>
      </c>
      <c r="E265" s="1">
        <v>1276168</v>
      </c>
      <c r="F265">
        <v>8.4000000000000005E-2</v>
      </c>
      <c r="G265">
        <v>20</v>
      </c>
      <c r="H265">
        <v>686</v>
      </c>
      <c r="I265">
        <v>11</v>
      </c>
      <c r="J265" s="1">
        <v>27582</v>
      </c>
      <c r="K265" s="24" t="s">
        <v>1772</v>
      </c>
      <c r="L265" s="7">
        <f>EV[[#This Row],[Current_Debt]]/EV[[#This Row],[Monthly_Income]]</f>
        <v>0.38129337277779313</v>
      </c>
      <c r="M265" t="s">
        <v>1786</v>
      </c>
    </row>
    <row r="266" spans="1:13" x14ac:dyDescent="0.3">
      <c r="A266">
        <v>265</v>
      </c>
      <c r="B266" t="s">
        <v>1535</v>
      </c>
      <c r="C266">
        <v>60</v>
      </c>
      <c r="D266">
        <v>73364</v>
      </c>
      <c r="E266" s="1">
        <v>2456792</v>
      </c>
      <c r="F266">
        <v>8.3000000000000004E-2</v>
      </c>
      <c r="G266">
        <v>15</v>
      </c>
      <c r="H266">
        <v>819</v>
      </c>
      <c r="I266">
        <v>2</v>
      </c>
      <c r="J266" s="1">
        <v>17960</v>
      </c>
      <c r="K266" s="24" t="s">
        <v>1772</v>
      </c>
      <c r="L266" s="7">
        <f>EV[[#This Row],[Current_Debt]]/EV[[#This Row],[Monthly_Income]]</f>
        <v>0.24480671719099287</v>
      </c>
      <c r="M266" t="s">
        <v>1786</v>
      </c>
    </row>
    <row r="267" spans="1:13" x14ac:dyDescent="0.3">
      <c r="A267">
        <v>266</v>
      </c>
      <c r="B267" t="s">
        <v>1536</v>
      </c>
      <c r="C267">
        <v>49</v>
      </c>
      <c r="D267">
        <v>25297</v>
      </c>
      <c r="E267" s="1">
        <v>2191977</v>
      </c>
      <c r="F267">
        <v>9.8000000000000004E-2</v>
      </c>
      <c r="G267">
        <v>30</v>
      </c>
      <c r="H267">
        <v>673</v>
      </c>
      <c r="I267">
        <v>5</v>
      </c>
      <c r="J267" s="1">
        <v>20785</v>
      </c>
      <c r="K267" s="24" t="s">
        <v>1772</v>
      </c>
      <c r="L267" s="7">
        <f>EV[[#This Row],[Current_Debt]]/EV[[#This Row],[Monthly_Income]]</f>
        <v>0.82163892951733408</v>
      </c>
      <c r="M267" t="s">
        <v>2292</v>
      </c>
    </row>
    <row r="268" spans="1:13" x14ac:dyDescent="0.3">
      <c r="A268">
        <v>267</v>
      </c>
      <c r="B268" t="s">
        <v>1537</v>
      </c>
      <c r="C268">
        <v>59</v>
      </c>
      <c r="D268">
        <v>41447</v>
      </c>
      <c r="E268" s="1">
        <v>2465191</v>
      </c>
      <c r="F268">
        <v>0.108</v>
      </c>
      <c r="G268">
        <v>10</v>
      </c>
      <c r="H268">
        <v>751</v>
      </c>
      <c r="I268">
        <v>15</v>
      </c>
      <c r="J268" s="1">
        <v>43839</v>
      </c>
      <c r="K268" s="24" t="s">
        <v>1772</v>
      </c>
      <c r="L268" s="7">
        <f>EV[[#This Row],[Current_Debt]]/EV[[#This Row],[Monthly_Income]]</f>
        <v>1.057712259029604</v>
      </c>
      <c r="M268" t="s">
        <v>1786</v>
      </c>
    </row>
    <row r="269" spans="1:13" x14ac:dyDescent="0.3">
      <c r="A269">
        <v>268</v>
      </c>
      <c r="B269" t="s">
        <v>1538</v>
      </c>
      <c r="C269">
        <v>32</v>
      </c>
      <c r="D269">
        <v>81959</v>
      </c>
      <c r="E269" s="1">
        <v>2033737</v>
      </c>
      <c r="F269">
        <v>0.10299999999999999</v>
      </c>
      <c r="G269">
        <v>10</v>
      </c>
      <c r="H269">
        <v>680</v>
      </c>
      <c r="I269">
        <v>1</v>
      </c>
      <c r="J269" s="1">
        <v>12069</v>
      </c>
      <c r="K269" s="24" t="s">
        <v>1774</v>
      </c>
      <c r="L269" s="7">
        <f>EV[[#This Row],[Current_Debt]]/EV[[#This Row],[Monthly_Income]]</f>
        <v>0.1472565551068217</v>
      </c>
      <c r="M269" t="s">
        <v>2290</v>
      </c>
    </row>
    <row r="270" spans="1:13" x14ac:dyDescent="0.3">
      <c r="A270">
        <v>269</v>
      </c>
      <c r="B270" t="s">
        <v>1539</v>
      </c>
      <c r="C270">
        <v>51</v>
      </c>
      <c r="D270">
        <v>114809</v>
      </c>
      <c r="E270" s="1">
        <v>580669</v>
      </c>
      <c r="F270">
        <v>9.0999999999999998E-2</v>
      </c>
      <c r="G270">
        <v>10</v>
      </c>
      <c r="H270">
        <v>699</v>
      </c>
      <c r="I270">
        <v>4</v>
      </c>
      <c r="J270" s="1">
        <v>49399</v>
      </c>
      <c r="K270" s="24" t="s">
        <v>1772</v>
      </c>
      <c r="L270" s="7">
        <f>EV[[#This Row],[Current_Debt]]/EV[[#This Row],[Monthly_Income]]</f>
        <v>0.43027114599029692</v>
      </c>
      <c r="M270" t="s">
        <v>1786</v>
      </c>
    </row>
    <row r="271" spans="1:13" x14ac:dyDescent="0.3">
      <c r="A271">
        <v>270</v>
      </c>
      <c r="B271" t="s">
        <v>1540</v>
      </c>
      <c r="C271">
        <v>39</v>
      </c>
      <c r="D271">
        <v>40283</v>
      </c>
      <c r="E271" s="1">
        <v>1155980</v>
      </c>
      <c r="F271">
        <v>8.5999999999999993E-2</v>
      </c>
      <c r="G271">
        <v>20</v>
      </c>
      <c r="H271">
        <v>710</v>
      </c>
      <c r="I271">
        <v>4</v>
      </c>
      <c r="J271" s="1">
        <v>4889</v>
      </c>
      <c r="K271" s="26" t="s">
        <v>1774</v>
      </c>
      <c r="L271" s="7">
        <f>EV[[#This Row],[Current_Debt]]/EV[[#This Row],[Monthly_Income]]</f>
        <v>0.12136633319266192</v>
      </c>
      <c r="M271" t="s">
        <v>1785</v>
      </c>
    </row>
    <row r="272" spans="1:13" x14ac:dyDescent="0.3">
      <c r="A272">
        <v>271</v>
      </c>
      <c r="B272" t="s">
        <v>1541</v>
      </c>
      <c r="C272">
        <v>22</v>
      </c>
      <c r="D272">
        <v>75232</v>
      </c>
      <c r="E272" s="1">
        <v>1075983</v>
      </c>
      <c r="F272">
        <v>9.4E-2</v>
      </c>
      <c r="G272">
        <v>10</v>
      </c>
      <c r="H272">
        <v>614</v>
      </c>
      <c r="I272">
        <v>10</v>
      </c>
      <c r="J272" s="1">
        <v>23300</v>
      </c>
      <c r="K272" s="25" t="s">
        <v>1773</v>
      </c>
      <c r="L272" s="7">
        <f>EV[[#This Row],[Current_Debt]]/EV[[#This Row],[Monthly_Income]]</f>
        <v>0.30970863462356446</v>
      </c>
      <c r="M272" t="s">
        <v>1784</v>
      </c>
    </row>
    <row r="273" spans="1:13" x14ac:dyDescent="0.3">
      <c r="A273">
        <v>272</v>
      </c>
      <c r="B273" t="s">
        <v>1542</v>
      </c>
      <c r="C273">
        <v>45</v>
      </c>
      <c r="D273">
        <v>55728</v>
      </c>
      <c r="E273" s="1">
        <v>803217</v>
      </c>
      <c r="F273">
        <v>0.1</v>
      </c>
      <c r="G273">
        <v>10</v>
      </c>
      <c r="H273">
        <v>710</v>
      </c>
      <c r="I273">
        <v>5</v>
      </c>
      <c r="J273" s="1">
        <v>49042</v>
      </c>
      <c r="K273" s="24" t="s">
        <v>1772</v>
      </c>
      <c r="L273" s="7">
        <f>EV[[#This Row],[Current_Debt]]/EV[[#This Row],[Monthly_Income]]</f>
        <v>0.88002440424921047</v>
      </c>
      <c r="M273" t="s">
        <v>1786</v>
      </c>
    </row>
    <row r="274" spans="1:13" x14ac:dyDescent="0.3">
      <c r="A274">
        <v>273</v>
      </c>
      <c r="B274" t="s">
        <v>1543</v>
      </c>
      <c r="C274">
        <v>28</v>
      </c>
      <c r="D274">
        <v>89319</v>
      </c>
      <c r="E274" s="1">
        <v>549013</v>
      </c>
      <c r="F274">
        <v>0.10299999999999999</v>
      </c>
      <c r="G274">
        <v>20</v>
      </c>
      <c r="H274">
        <v>698</v>
      </c>
      <c r="I274">
        <v>4</v>
      </c>
      <c r="J274" s="1">
        <v>48196</v>
      </c>
      <c r="K274" s="24" t="s">
        <v>1772</v>
      </c>
      <c r="L274" s="7">
        <f>EV[[#This Row],[Current_Debt]]/EV[[#This Row],[Monthly_Income]]</f>
        <v>0.53959403934213324</v>
      </c>
      <c r="M274" t="s">
        <v>1786</v>
      </c>
    </row>
    <row r="275" spans="1:13" x14ac:dyDescent="0.3">
      <c r="A275">
        <v>274</v>
      </c>
      <c r="B275" t="s">
        <v>1544</v>
      </c>
      <c r="C275">
        <v>20</v>
      </c>
      <c r="D275">
        <v>110355</v>
      </c>
      <c r="E275" s="1">
        <v>1604460</v>
      </c>
      <c r="F275">
        <v>8.2000000000000003E-2</v>
      </c>
      <c r="G275">
        <v>15</v>
      </c>
      <c r="H275">
        <v>790</v>
      </c>
      <c r="I275">
        <v>2</v>
      </c>
      <c r="J275" s="1">
        <v>18524</v>
      </c>
      <c r="K275" s="25" t="s">
        <v>1773</v>
      </c>
      <c r="L275" s="7">
        <f>EV[[#This Row],[Current_Debt]]/EV[[#This Row],[Monthly_Income]]</f>
        <v>0.16785827556522134</v>
      </c>
      <c r="M275" t="s">
        <v>1784</v>
      </c>
    </row>
    <row r="276" spans="1:13" x14ac:dyDescent="0.3">
      <c r="A276">
        <v>275</v>
      </c>
      <c r="B276" t="s">
        <v>1545</v>
      </c>
      <c r="C276">
        <v>35</v>
      </c>
      <c r="D276">
        <v>93381</v>
      </c>
      <c r="E276" s="1">
        <v>1098005</v>
      </c>
      <c r="F276">
        <v>0.115</v>
      </c>
      <c r="G276">
        <v>20</v>
      </c>
      <c r="H276">
        <v>660</v>
      </c>
      <c r="I276">
        <v>13</v>
      </c>
      <c r="J276" s="1">
        <v>17294</v>
      </c>
      <c r="K276" s="24" t="s">
        <v>1772</v>
      </c>
      <c r="L276" s="7">
        <f>EV[[#This Row],[Current_Debt]]/EV[[#This Row],[Monthly_Income]]</f>
        <v>0.18519827373876913</v>
      </c>
      <c r="M276" t="s">
        <v>2292</v>
      </c>
    </row>
    <row r="277" spans="1:13" x14ac:dyDescent="0.3">
      <c r="A277">
        <v>276</v>
      </c>
      <c r="B277" t="s">
        <v>1546</v>
      </c>
      <c r="C277">
        <v>58</v>
      </c>
      <c r="D277">
        <v>22303</v>
      </c>
      <c r="E277" s="1">
        <v>992772</v>
      </c>
      <c r="F277">
        <v>8.8999999999999996E-2</v>
      </c>
      <c r="G277">
        <v>25</v>
      </c>
      <c r="H277">
        <v>690</v>
      </c>
      <c r="I277">
        <v>8</v>
      </c>
      <c r="J277" s="1">
        <v>22607</v>
      </c>
      <c r="K277" s="24" t="s">
        <v>1772</v>
      </c>
      <c r="L277" s="7">
        <f>EV[[#This Row],[Current_Debt]]/EV[[#This Row],[Monthly_Income]]</f>
        <v>1.0136304533022464</v>
      </c>
      <c r="M277" t="s">
        <v>1786</v>
      </c>
    </row>
    <row r="278" spans="1:13" x14ac:dyDescent="0.3">
      <c r="A278">
        <v>277</v>
      </c>
      <c r="B278" t="s">
        <v>1547</v>
      </c>
      <c r="C278">
        <v>54</v>
      </c>
      <c r="D278">
        <v>76448</v>
      </c>
      <c r="E278" s="1">
        <v>2153231</v>
      </c>
      <c r="F278">
        <v>9.6000000000000002E-2</v>
      </c>
      <c r="G278">
        <v>25</v>
      </c>
      <c r="H278">
        <v>640</v>
      </c>
      <c r="I278">
        <v>5</v>
      </c>
      <c r="J278" s="1">
        <v>3765</v>
      </c>
      <c r="K278" s="24" t="s">
        <v>1773</v>
      </c>
      <c r="L278" s="7">
        <f>EV[[#This Row],[Current_Debt]]/EV[[#This Row],[Monthly_Income]]</f>
        <v>4.9249162829635831E-2</v>
      </c>
      <c r="M278" t="s">
        <v>2291</v>
      </c>
    </row>
    <row r="279" spans="1:13" x14ac:dyDescent="0.3">
      <c r="A279">
        <v>278</v>
      </c>
      <c r="B279" t="s">
        <v>1548</v>
      </c>
      <c r="C279">
        <v>43</v>
      </c>
      <c r="D279">
        <v>24498</v>
      </c>
      <c r="E279" s="1">
        <v>986774</v>
      </c>
      <c r="F279">
        <v>0.107</v>
      </c>
      <c r="G279">
        <v>15</v>
      </c>
      <c r="H279">
        <v>641</v>
      </c>
      <c r="I279">
        <v>2</v>
      </c>
      <c r="J279" s="1">
        <v>27645</v>
      </c>
      <c r="K279" s="24" t="s">
        <v>1773</v>
      </c>
      <c r="L279" s="7">
        <f>EV[[#This Row],[Current_Debt]]/EV[[#This Row],[Monthly_Income]]</f>
        <v>1.1284594660788636</v>
      </c>
      <c r="M279" t="s">
        <v>2291</v>
      </c>
    </row>
    <row r="280" spans="1:13" x14ac:dyDescent="0.3">
      <c r="A280">
        <v>279</v>
      </c>
      <c r="B280" t="s">
        <v>1549</v>
      </c>
      <c r="C280">
        <v>55</v>
      </c>
      <c r="D280">
        <v>72950</v>
      </c>
      <c r="E280" s="1">
        <v>1270265</v>
      </c>
      <c r="F280">
        <v>0.1</v>
      </c>
      <c r="G280">
        <v>30</v>
      </c>
      <c r="H280">
        <v>822</v>
      </c>
      <c r="I280">
        <v>8</v>
      </c>
      <c r="J280" s="1">
        <v>20936</v>
      </c>
      <c r="K280" s="24" t="s">
        <v>1772</v>
      </c>
      <c r="L280" s="7">
        <f>EV[[#This Row],[Current_Debt]]/EV[[#This Row],[Monthly_Income]]</f>
        <v>0.28699108978752569</v>
      </c>
      <c r="M280" t="s">
        <v>1786</v>
      </c>
    </row>
    <row r="281" spans="1:13" x14ac:dyDescent="0.3">
      <c r="A281">
        <v>280</v>
      </c>
      <c r="B281" t="s">
        <v>1550</v>
      </c>
      <c r="C281">
        <v>62</v>
      </c>
      <c r="D281">
        <v>31448</v>
      </c>
      <c r="E281" s="1">
        <v>2405664</v>
      </c>
      <c r="F281">
        <v>9.0999999999999998E-2</v>
      </c>
      <c r="G281">
        <v>15</v>
      </c>
      <c r="H281">
        <v>605</v>
      </c>
      <c r="I281">
        <v>4</v>
      </c>
      <c r="J281" s="1">
        <v>8338</v>
      </c>
      <c r="K281" s="24" t="s">
        <v>1773</v>
      </c>
      <c r="L281" s="7">
        <f>EV[[#This Row],[Current_Debt]]/EV[[#This Row],[Monthly_Income]]</f>
        <v>0.26513609768506741</v>
      </c>
      <c r="M281" t="s">
        <v>2291</v>
      </c>
    </row>
    <row r="282" spans="1:13" x14ac:dyDescent="0.3">
      <c r="A282">
        <v>281</v>
      </c>
      <c r="B282" t="s">
        <v>1551</v>
      </c>
      <c r="C282">
        <v>45</v>
      </c>
      <c r="D282">
        <v>54102</v>
      </c>
      <c r="E282" s="1">
        <v>2356705</v>
      </c>
      <c r="F282">
        <v>0.11899999999999999</v>
      </c>
      <c r="G282">
        <v>10</v>
      </c>
      <c r="H282">
        <v>647</v>
      </c>
      <c r="I282">
        <v>12</v>
      </c>
      <c r="J282" s="1">
        <v>13506</v>
      </c>
      <c r="K282" s="24" t="s">
        <v>1773</v>
      </c>
      <c r="L282" s="7">
        <f>EV[[#This Row],[Current_Debt]]/EV[[#This Row],[Monthly_Income]]</f>
        <v>0.24963956970167461</v>
      </c>
      <c r="M282" t="s">
        <v>2291</v>
      </c>
    </row>
    <row r="283" spans="1:13" x14ac:dyDescent="0.3">
      <c r="A283">
        <v>282</v>
      </c>
      <c r="B283" t="s">
        <v>1552</v>
      </c>
      <c r="C283">
        <v>25</v>
      </c>
      <c r="D283">
        <v>65952</v>
      </c>
      <c r="E283" s="1">
        <v>2170097</v>
      </c>
      <c r="F283">
        <v>0.114</v>
      </c>
      <c r="G283">
        <v>20</v>
      </c>
      <c r="H283">
        <v>849</v>
      </c>
      <c r="I283">
        <v>0</v>
      </c>
      <c r="J283" s="1">
        <v>23653</v>
      </c>
      <c r="K283" s="24" t="s">
        <v>1772</v>
      </c>
      <c r="L283" s="7">
        <f>EV[[#This Row],[Current_Debt]]/EV[[#This Row],[Monthly_Income]]</f>
        <v>0.35863961669092675</v>
      </c>
      <c r="M283" t="s">
        <v>1786</v>
      </c>
    </row>
    <row r="284" spans="1:13" x14ac:dyDescent="0.3">
      <c r="A284">
        <v>283</v>
      </c>
      <c r="B284" t="s">
        <v>1553</v>
      </c>
      <c r="C284">
        <v>53</v>
      </c>
      <c r="D284">
        <v>26242</v>
      </c>
      <c r="E284" s="1">
        <v>1305033</v>
      </c>
      <c r="F284">
        <v>9.8000000000000004E-2</v>
      </c>
      <c r="G284">
        <v>25</v>
      </c>
      <c r="H284">
        <v>620</v>
      </c>
      <c r="I284">
        <v>8</v>
      </c>
      <c r="J284" s="1">
        <v>37306</v>
      </c>
      <c r="K284" s="24" t="s">
        <v>1773</v>
      </c>
      <c r="L284" s="7">
        <f>EV[[#This Row],[Current_Debt]]/EV[[#This Row],[Monthly_Income]]</f>
        <v>1.4216142062342809</v>
      </c>
      <c r="M284" t="s">
        <v>2291</v>
      </c>
    </row>
    <row r="285" spans="1:13" x14ac:dyDescent="0.3">
      <c r="A285">
        <v>284</v>
      </c>
      <c r="B285" t="s">
        <v>1554</v>
      </c>
      <c r="C285">
        <v>47</v>
      </c>
      <c r="D285">
        <v>56543</v>
      </c>
      <c r="E285" s="1">
        <v>1078739</v>
      </c>
      <c r="F285">
        <v>0.1</v>
      </c>
      <c r="G285">
        <v>20</v>
      </c>
      <c r="H285">
        <v>680</v>
      </c>
      <c r="I285">
        <v>12</v>
      </c>
      <c r="J285" s="1">
        <v>19620</v>
      </c>
      <c r="K285" s="24" t="s">
        <v>1772</v>
      </c>
      <c r="L285" s="7">
        <f>EV[[#This Row],[Current_Debt]]/EV[[#This Row],[Monthly_Income]]</f>
        <v>0.34699255433917547</v>
      </c>
      <c r="M285" t="s">
        <v>1786</v>
      </c>
    </row>
    <row r="286" spans="1:13" x14ac:dyDescent="0.3">
      <c r="A286">
        <v>285</v>
      </c>
      <c r="B286" t="s">
        <v>1555</v>
      </c>
      <c r="C286">
        <v>22</v>
      </c>
      <c r="D286">
        <v>113105</v>
      </c>
      <c r="E286" s="1">
        <v>813339</v>
      </c>
      <c r="F286">
        <v>0.08</v>
      </c>
      <c r="G286">
        <v>15</v>
      </c>
      <c r="H286">
        <v>724</v>
      </c>
      <c r="I286">
        <v>6</v>
      </c>
      <c r="J286" s="1">
        <v>21044</v>
      </c>
      <c r="K286" s="25" t="s">
        <v>1773</v>
      </c>
      <c r="L286" s="7">
        <f>EV[[#This Row],[Current_Debt]]/EV[[#This Row],[Monthly_Income]]</f>
        <v>0.18605720348348878</v>
      </c>
      <c r="M286" t="s">
        <v>1784</v>
      </c>
    </row>
    <row r="287" spans="1:13" x14ac:dyDescent="0.3">
      <c r="A287">
        <v>286</v>
      </c>
      <c r="B287" t="s">
        <v>1556</v>
      </c>
      <c r="C287">
        <v>56</v>
      </c>
      <c r="D287">
        <v>17561</v>
      </c>
      <c r="E287" s="1">
        <v>1096865</v>
      </c>
      <c r="F287">
        <v>8.6999999999999994E-2</v>
      </c>
      <c r="G287">
        <v>25</v>
      </c>
      <c r="H287">
        <v>849</v>
      </c>
      <c r="I287">
        <v>2</v>
      </c>
      <c r="J287" s="1">
        <v>13776</v>
      </c>
      <c r="K287" s="24" t="s">
        <v>1774</v>
      </c>
      <c r="L287" s="7">
        <f>EV[[#This Row],[Current_Debt]]/EV[[#This Row],[Monthly_Income]]</f>
        <v>0.78446557713114284</v>
      </c>
      <c r="M287" t="s">
        <v>1785</v>
      </c>
    </row>
    <row r="288" spans="1:13" x14ac:dyDescent="0.3">
      <c r="A288">
        <v>287</v>
      </c>
      <c r="B288" t="s">
        <v>1557</v>
      </c>
      <c r="C288">
        <v>58</v>
      </c>
      <c r="D288">
        <v>68028</v>
      </c>
      <c r="E288" s="1">
        <v>2082167</v>
      </c>
      <c r="F288">
        <v>0.104</v>
      </c>
      <c r="G288">
        <v>25</v>
      </c>
      <c r="H288">
        <v>712</v>
      </c>
      <c r="I288">
        <v>13</v>
      </c>
      <c r="J288" s="1">
        <v>34132</v>
      </c>
      <c r="K288" s="24" t="s">
        <v>1772</v>
      </c>
      <c r="L288" s="7">
        <f>EV[[#This Row],[Current_Debt]]/EV[[#This Row],[Monthly_Income]]</f>
        <v>0.50173457987887338</v>
      </c>
      <c r="M288" t="s">
        <v>1786</v>
      </c>
    </row>
    <row r="289" spans="1:13" x14ac:dyDescent="0.3">
      <c r="A289">
        <v>288</v>
      </c>
      <c r="B289" t="s">
        <v>1558</v>
      </c>
      <c r="C289">
        <v>25</v>
      </c>
      <c r="D289">
        <v>21515</v>
      </c>
      <c r="E289" s="1">
        <v>2286010</v>
      </c>
      <c r="F289">
        <v>0.1</v>
      </c>
      <c r="G289">
        <v>30</v>
      </c>
      <c r="H289">
        <v>818</v>
      </c>
      <c r="I289">
        <v>5</v>
      </c>
      <c r="J289" s="1">
        <v>32774</v>
      </c>
      <c r="K289" s="24" t="s">
        <v>1772</v>
      </c>
      <c r="L289" s="7">
        <f>EV[[#This Row],[Current_Debt]]/EV[[#This Row],[Monthly_Income]]</f>
        <v>1.5233093190797118</v>
      </c>
      <c r="M289" t="s">
        <v>1786</v>
      </c>
    </row>
    <row r="290" spans="1:13" x14ac:dyDescent="0.3">
      <c r="A290">
        <v>289</v>
      </c>
      <c r="B290" t="s">
        <v>1559</v>
      </c>
      <c r="C290">
        <v>65</v>
      </c>
      <c r="D290">
        <v>95054</v>
      </c>
      <c r="E290" s="1">
        <v>1277411</v>
      </c>
      <c r="F290">
        <v>0.113</v>
      </c>
      <c r="G290">
        <v>25</v>
      </c>
      <c r="H290">
        <v>700</v>
      </c>
      <c r="I290">
        <v>7</v>
      </c>
      <c r="J290" s="1">
        <v>43581</v>
      </c>
      <c r="K290" s="24" t="s">
        <v>1772</v>
      </c>
      <c r="L290" s="7">
        <f>EV[[#This Row],[Current_Debt]]/EV[[#This Row],[Monthly_Income]]</f>
        <v>0.4584867548972163</v>
      </c>
      <c r="M290" t="s">
        <v>1786</v>
      </c>
    </row>
    <row r="291" spans="1:13" x14ac:dyDescent="0.3">
      <c r="A291">
        <v>290</v>
      </c>
      <c r="B291" t="s">
        <v>1560</v>
      </c>
      <c r="C291">
        <v>46</v>
      </c>
      <c r="D291">
        <v>86754</v>
      </c>
      <c r="E291" s="1">
        <v>2276193</v>
      </c>
      <c r="F291">
        <v>0.112</v>
      </c>
      <c r="G291">
        <v>30</v>
      </c>
      <c r="H291">
        <v>720</v>
      </c>
      <c r="I291">
        <v>6</v>
      </c>
      <c r="J291" s="1">
        <v>9989</v>
      </c>
      <c r="K291" s="26" t="s">
        <v>1774</v>
      </c>
      <c r="L291" s="7">
        <f>EV[[#This Row],[Current_Debt]]/EV[[#This Row],[Monthly_Income]]</f>
        <v>0.11514166493763976</v>
      </c>
      <c r="M291" t="s">
        <v>1785</v>
      </c>
    </row>
    <row r="292" spans="1:13" x14ac:dyDescent="0.3">
      <c r="A292">
        <v>291</v>
      </c>
      <c r="B292" t="s">
        <v>1561</v>
      </c>
      <c r="C292">
        <v>38</v>
      </c>
      <c r="D292">
        <v>18836</v>
      </c>
      <c r="E292" s="1">
        <v>2399542</v>
      </c>
      <c r="F292">
        <v>0.108</v>
      </c>
      <c r="G292">
        <v>15</v>
      </c>
      <c r="H292">
        <v>638</v>
      </c>
      <c r="I292">
        <v>7</v>
      </c>
      <c r="J292" s="1">
        <v>23696</v>
      </c>
      <c r="K292" s="24" t="s">
        <v>1773</v>
      </c>
      <c r="L292" s="7">
        <f>EV[[#This Row],[Current_Debt]]/EV[[#This Row],[Monthly_Income]]</f>
        <v>1.2580165640263326</v>
      </c>
      <c r="M292" t="s">
        <v>2291</v>
      </c>
    </row>
    <row r="293" spans="1:13" x14ac:dyDescent="0.3">
      <c r="A293">
        <v>292</v>
      </c>
      <c r="B293" t="s">
        <v>1562</v>
      </c>
      <c r="C293">
        <v>63</v>
      </c>
      <c r="D293">
        <v>94920</v>
      </c>
      <c r="E293" s="1">
        <v>2424798</v>
      </c>
      <c r="F293">
        <v>0.11700000000000001</v>
      </c>
      <c r="G293">
        <v>15</v>
      </c>
      <c r="H293">
        <v>656</v>
      </c>
      <c r="I293">
        <v>2</v>
      </c>
      <c r="J293" s="1">
        <v>10873</v>
      </c>
      <c r="K293" s="24" t="s">
        <v>1772</v>
      </c>
      <c r="L293" s="7">
        <f>EV[[#This Row],[Current_Debt]]/EV[[#This Row],[Monthly_Income]]</f>
        <v>0.11454909397387274</v>
      </c>
      <c r="M293" t="s">
        <v>2292</v>
      </c>
    </row>
    <row r="294" spans="1:13" x14ac:dyDescent="0.3">
      <c r="A294">
        <v>293</v>
      </c>
      <c r="B294" t="s">
        <v>1563</v>
      </c>
      <c r="C294">
        <v>51</v>
      </c>
      <c r="D294">
        <v>114213</v>
      </c>
      <c r="E294" s="1">
        <v>2297176</v>
      </c>
      <c r="F294">
        <v>8.4000000000000005E-2</v>
      </c>
      <c r="G294">
        <v>30</v>
      </c>
      <c r="H294">
        <v>639</v>
      </c>
      <c r="I294">
        <v>2</v>
      </c>
      <c r="J294" s="1">
        <v>33311</v>
      </c>
      <c r="K294" s="24" t="s">
        <v>1773</v>
      </c>
      <c r="L294" s="7">
        <f>EV[[#This Row],[Current_Debt]]/EV[[#This Row],[Monthly_Income]]</f>
        <v>0.29165681664959331</v>
      </c>
      <c r="M294" t="s">
        <v>2291</v>
      </c>
    </row>
    <row r="295" spans="1:13" x14ac:dyDescent="0.3">
      <c r="A295">
        <v>294</v>
      </c>
      <c r="B295" t="s">
        <v>1564</v>
      </c>
      <c r="C295">
        <v>26</v>
      </c>
      <c r="D295">
        <v>119682</v>
      </c>
      <c r="E295" s="1">
        <v>1705093</v>
      </c>
      <c r="F295">
        <v>9.4E-2</v>
      </c>
      <c r="G295">
        <v>20</v>
      </c>
      <c r="H295">
        <v>741</v>
      </c>
      <c r="I295">
        <v>1</v>
      </c>
      <c r="J295" s="1">
        <v>1985</v>
      </c>
      <c r="K295" s="24" t="s">
        <v>1772</v>
      </c>
      <c r="L295" s="7">
        <f>EV[[#This Row],[Current_Debt]]/EV[[#This Row],[Monthly_Income]]</f>
        <v>1.6585618555839642E-2</v>
      </c>
      <c r="M295" t="s">
        <v>1786</v>
      </c>
    </row>
    <row r="296" spans="1:13" x14ac:dyDescent="0.3">
      <c r="A296">
        <v>295</v>
      </c>
      <c r="B296" t="s">
        <v>1565</v>
      </c>
      <c r="C296">
        <v>58</v>
      </c>
      <c r="D296">
        <v>114992</v>
      </c>
      <c r="E296" s="1">
        <v>1724857</v>
      </c>
      <c r="F296">
        <v>0.09</v>
      </c>
      <c r="G296">
        <v>25</v>
      </c>
      <c r="H296">
        <v>745</v>
      </c>
      <c r="I296">
        <v>7</v>
      </c>
      <c r="J296" s="1">
        <v>38628</v>
      </c>
      <c r="K296" s="24" t="s">
        <v>1772</v>
      </c>
      <c r="L296" s="7">
        <f>EV[[#This Row],[Current_Debt]]/EV[[#This Row],[Monthly_Income]]</f>
        <v>0.33591902045359678</v>
      </c>
      <c r="M296" t="s">
        <v>1786</v>
      </c>
    </row>
    <row r="297" spans="1:13" x14ac:dyDescent="0.3">
      <c r="A297">
        <v>296</v>
      </c>
      <c r="B297" t="s">
        <v>1566</v>
      </c>
      <c r="C297">
        <v>64</v>
      </c>
      <c r="D297">
        <v>17200</v>
      </c>
      <c r="E297" s="1">
        <v>2082419</v>
      </c>
      <c r="F297">
        <v>9.0999999999999998E-2</v>
      </c>
      <c r="G297">
        <v>30</v>
      </c>
      <c r="H297">
        <v>719</v>
      </c>
      <c r="I297">
        <v>4</v>
      </c>
      <c r="J297" s="1">
        <v>24510</v>
      </c>
      <c r="K297" s="24" t="s">
        <v>1772</v>
      </c>
      <c r="L297" s="7">
        <f>EV[[#This Row],[Current_Debt]]/EV[[#This Row],[Monthly_Income]]</f>
        <v>1.425</v>
      </c>
      <c r="M297" t="s">
        <v>1786</v>
      </c>
    </row>
    <row r="298" spans="1:13" x14ac:dyDescent="0.3">
      <c r="A298">
        <v>297</v>
      </c>
      <c r="B298" t="s">
        <v>1567</v>
      </c>
      <c r="C298">
        <v>28</v>
      </c>
      <c r="D298">
        <v>32367</v>
      </c>
      <c r="E298" s="1">
        <v>1236308</v>
      </c>
      <c r="F298">
        <v>8.7999999999999995E-2</v>
      </c>
      <c r="G298">
        <v>10</v>
      </c>
      <c r="H298">
        <v>812</v>
      </c>
      <c r="I298">
        <v>0</v>
      </c>
      <c r="J298" s="1">
        <v>10763</v>
      </c>
      <c r="K298" s="24" t="s">
        <v>1772</v>
      </c>
      <c r="L298" s="7">
        <f>EV[[#This Row],[Current_Debt]]/EV[[#This Row],[Monthly_Income]]</f>
        <v>0.33253004603454134</v>
      </c>
      <c r="M298" t="s">
        <v>1786</v>
      </c>
    </row>
    <row r="299" spans="1:13" x14ac:dyDescent="0.3">
      <c r="A299">
        <v>298</v>
      </c>
      <c r="B299" t="s">
        <v>1568</v>
      </c>
      <c r="C299">
        <v>29</v>
      </c>
      <c r="D299">
        <v>62936</v>
      </c>
      <c r="E299" s="1">
        <v>1264433</v>
      </c>
      <c r="F299">
        <v>8.3000000000000004E-2</v>
      </c>
      <c r="G299">
        <v>10</v>
      </c>
      <c r="H299">
        <v>832</v>
      </c>
      <c r="I299">
        <v>11</v>
      </c>
      <c r="J299" s="1">
        <v>22479</v>
      </c>
      <c r="K299" s="24" t="s">
        <v>1772</v>
      </c>
      <c r="L299" s="7">
        <f>EV[[#This Row],[Current_Debt]]/EV[[#This Row],[Monthly_Income]]</f>
        <v>0.35717236557772974</v>
      </c>
      <c r="M299" t="s">
        <v>1786</v>
      </c>
    </row>
    <row r="300" spans="1:13" x14ac:dyDescent="0.3">
      <c r="A300">
        <v>299</v>
      </c>
      <c r="B300" t="s">
        <v>1569</v>
      </c>
      <c r="C300">
        <v>49</v>
      </c>
      <c r="D300">
        <v>39695</v>
      </c>
      <c r="E300" s="1">
        <v>733692</v>
      </c>
      <c r="F300">
        <v>0.105</v>
      </c>
      <c r="G300">
        <v>25</v>
      </c>
      <c r="H300">
        <v>827</v>
      </c>
      <c r="I300">
        <v>7</v>
      </c>
      <c r="J300" s="1">
        <v>22285</v>
      </c>
      <c r="K300" s="24" t="s">
        <v>1772</v>
      </c>
      <c r="L300" s="7">
        <f>EV[[#This Row],[Current_Debt]]/EV[[#This Row],[Monthly_Income]]</f>
        <v>0.56140571860435828</v>
      </c>
      <c r="M300" t="s">
        <v>1786</v>
      </c>
    </row>
    <row r="301" spans="1:13" x14ac:dyDescent="0.3">
      <c r="A301">
        <v>300</v>
      </c>
      <c r="B301" t="s">
        <v>1570</v>
      </c>
      <c r="C301">
        <v>60</v>
      </c>
      <c r="D301">
        <v>28552</v>
      </c>
      <c r="E301" s="1">
        <v>1858382</v>
      </c>
      <c r="F301">
        <v>9.2999999999999999E-2</v>
      </c>
      <c r="G301">
        <v>20</v>
      </c>
      <c r="H301">
        <v>626</v>
      </c>
      <c r="I301">
        <v>3</v>
      </c>
      <c r="J301" s="1">
        <v>13914</v>
      </c>
      <c r="K301" s="24" t="s">
        <v>1773</v>
      </c>
      <c r="L301" s="7">
        <f>EV[[#This Row],[Current_Debt]]/EV[[#This Row],[Monthly_Income]]</f>
        <v>0.48732137853740543</v>
      </c>
      <c r="M301" t="s">
        <v>2291</v>
      </c>
    </row>
    <row r="302" spans="1:13" x14ac:dyDescent="0.3">
      <c r="A302">
        <v>301</v>
      </c>
      <c r="B302" t="s">
        <v>1571</v>
      </c>
      <c r="C302">
        <v>43</v>
      </c>
      <c r="D302">
        <v>70860</v>
      </c>
      <c r="E302" s="1">
        <v>1456653</v>
      </c>
      <c r="F302">
        <v>0.10299999999999999</v>
      </c>
      <c r="G302">
        <v>15</v>
      </c>
      <c r="H302">
        <v>605</v>
      </c>
      <c r="I302">
        <v>6</v>
      </c>
      <c r="J302" s="1">
        <v>33092</v>
      </c>
      <c r="K302" s="24" t="s">
        <v>1773</v>
      </c>
      <c r="L302" s="7">
        <f>EV[[#This Row],[Current_Debt]]/EV[[#This Row],[Monthly_Income]]</f>
        <v>0.46700536268698845</v>
      </c>
      <c r="M302" t="s">
        <v>2291</v>
      </c>
    </row>
    <row r="303" spans="1:13" x14ac:dyDescent="0.3">
      <c r="A303">
        <v>302</v>
      </c>
      <c r="B303" t="s">
        <v>1572</v>
      </c>
      <c r="C303">
        <v>36</v>
      </c>
      <c r="D303">
        <v>68705</v>
      </c>
      <c r="E303" s="1">
        <v>1046461</v>
      </c>
      <c r="F303">
        <v>0.11899999999999999</v>
      </c>
      <c r="G303">
        <v>25</v>
      </c>
      <c r="H303">
        <v>695</v>
      </c>
      <c r="I303">
        <v>2</v>
      </c>
      <c r="J303" s="1">
        <v>29801</v>
      </c>
      <c r="K303" s="24" t="s">
        <v>1772</v>
      </c>
      <c r="L303" s="7">
        <f>EV[[#This Row],[Current_Debt]]/EV[[#This Row],[Monthly_Income]]</f>
        <v>0.4337530019649225</v>
      </c>
      <c r="M303" t="s">
        <v>1786</v>
      </c>
    </row>
    <row r="304" spans="1:13" x14ac:dyDescent="0.3">
      <c r="A304">
        <v>303</v>
      </c>
      <c r="B304" t="s">
        <v>1573</v>
      </c>
      <c r="C304">
        <v>26</v>
      </c>
      <c r="D304">
        <v>31906</v>
      </c>
      <c r="E304" s="1">
        <v>1769528</v>
      </c>
      <c r="F304">
        <v>9.6000000000000002E-2</v>
      </c>
      <c r="G304">
        <v>15</v>
      </c>
      <c r="H304">
        <v>745</v>
      </c>
      <c r="I304">
        <v>1</v>
      </c>
      <c r="J304" s="1">
        <v>45612</v>
      </c>
      <c r="K304" s="24" t="s">
        <v>1772</v>
      </c>
      <c r="L304" s="7">
        <f>EV[[#This Row],[Current_Debt]]/EV[[#This Row],[Monthly_Income]]</f>
        <v>1.429574374725757</v>
      </c>
      <c r="M304" t="s">
        <v>1786</v>
      </c>
    </row>
    <row r="305" spans="1:13" x14ac:dyDescent="0.3">
      <c r="A305">
        <v>304</v>
      </c>
      <c r="B305" t="s">
        <v>1574</v>
      </c>
      <c r="C305">
        <v>44</v>
      </c>
      <c r="D305">
        <v>112403</v>
      </c>
      <c r="E305" s="1">
        <v>1671335</v>
      </c>
      <c r="F305">
        <v>0.108</v>
      </c>
      <c r="G305">
        <v>25</v>
      </c>
      <c r="H305">
        <v>835</v>
      </c>
      <c r="I305">
        <v>3</v>
      </c>
      <c r="J305" s="1">
        <v>32171</v>
      </c>
      <c r="K305" s="24" t="s">
        <v>1772</v>
      </c>
      <c r="L305" s="7">
        <f>EV[[#This Row],[Current_Debt]]/EV[[#This Row],[Monthly_Income]]</f>
        <v>0.28621122212040606</v>
      </c>
      <c r="M305" t="s">
        <v>1786</v>
      </c>
    </row>
    <row r="306" spans="1:13" x14ac:dyDescent="0.3">
      <c r="A306">
        <v>305</v>
      </c>
      <c r="B306" t="s">
        <v>1575</v>
      </c>
      <c r="C306">
        <v>33</v>
      </c>
      <c r="D306">
        <v>100974</v>
      </c>
      <c r="E306" s="1">
        <v>1956606</v>
      </c>
      <c r="F306">
        <v>0.108</v>
      </c>
      <c r="G306">
        <v>10</v>
      </c>
      <c r="H306">
        <v>631</v>
      </c>
      <c r="I306">
        <v>10</v>
      </c>
      <c r="J306" s="1">
        <v>39578</v>
      </c>
      <c r="K306" s="24" t="s">
        <v>1773</v>
      </c>
      <c r="L306" s="7">
        <f>EV[[#This Row],[Current_Debt]]/EV[[#This Row],[Monthly_Income]]</f>
        <v>0.39196228732148869</v>
      </c>
      <c r="M306" t="s">
        <v>2291</v>
      </c>
    </row>
    <row r="307" spans="1:13" x14ac:dyDescent="0.3">
      <c r="A307">
        <v>306</v>
      </c>
      <c r="B307" t="s">
        <v>1576</v>
      </c>
      <c r="C307">
        <v>43</v>
      </c>
      <c r="D307">
        <v>68821</v>
      </c>
      <c r="E307" s="1">
        <v>744959</v>
      </c>
      <c r="F307">
        <v>0.10100000000000001</v>
      </c>
      <c r="G307">
        <v>20</v>
      </c>
      <c r="H307">
        <v>607</v>
      </c>
      <c r="I307">
        <v>9</v>
      </c>
      <c r="J307" s="1">
        <v>42848</v>
      </c>
      <c r="K307" s="24" t="s">
        <v>1773</v>
      </c>
      <c r="L307" s="7">
        <f>EV[[#This Row],[Current_Debt]]/EV[[#This Row],[Monthly_Income]]</f>
        <v>0.62260065968236444</v>
      </c>
      <c r="M307" t="s">
        <v>2291</v>
      </c>
    </row>
    <row r="308" spans="1:13" x14ac:dyDescent="0.3">
      <c r="A308">
        <v>307</v>
      </c>
      <c r="B308" t="s">
        <v>1577</v>
      </c>
      <c r="C308">
        <v>22</v>
      </c>
      <c r="D308">
        <v>75209</v>
      </c>
      <c r="E308" s="1">
        <v>1668993</v>
      </c>
      <c r="F308">
        <v>0.104</v>
      </c>
      <c r="G308">
        <v>10</v>
      </c>
      <c r="H308">
        <v>716</v>
      </c>
      <c r="I308">
        <v>1</v>
      </c>
      <c r="J308" s="1">
        <v>23767</v>
      </c>
      <c r="K308" s="25" t="s">
        <v>1773</v>
      </c>
      <c r="L308" s="7">
        <f>EV[[#This Row],[Current_Debt]]/EV[[#This Row],[Monthly_Income]]</f>
        <v>0.31601271124466485</v>
      </c>
      <c r="M308" t="s">
        <v>1784</v>
      </c>
    </row>
    <row r="309" spans="1:13" x14ac:dyDescent="0.3">
      <c r="A309">
        <v>308</v>
      </c>
      <c r="B309" t="s">
        <v>1578</v>
      </c>
      <c r="C309">
        <v>54</v>
      </c>
      <c r="D309">
        <v>27163</v>
      </c>
      <c r="E309" s="1">
        <v>1062592</v>
      </c>
      <c r="F309">
        <v>0.1</v>
      </c>
      <c r="G309">
        <v>30</v>
      </c>
      <c r="H309">
        <v>810</v>
      </c>
      <c r="I309">
        <v>3</v>
      </c>
      <c r="J309" s="1">
        <v>48926</v>
      </c>
      <c r="K309" s="24" t="s">
        <v>1772</v>
      </c>
      <c r="L309" s="7">
        <f>EV[[#This Row],[Current_Debt]]/EV[[#This Row],[Monthly_Income]]</f>
        <v>1.8012001619850533</v>
      </c>
      <c r="M309" t="s">
        <v>1786</v>
      </c>
    </row>
    <row r="310" spans="1:13" x14ac:dyDescent="0.3">
      <c r="A310">
        <v>309</v>
      </c>
      <c r="B310" t="s">
        <v>1579</v>
      </c>
      <c r="C310">
        <v>59</v>
      </c>
      <c r="D310">
        <v>35638</v>
      </c>
      <c r="E310" s="1">
        <v>1250219</v>
      </c>
      <c r="F310">
        <v>9.7000000000000003E-2</v>
      </c>
      <c r="G310">
        <v>25</v>
      </c>
      <c r="H310">
        <v>827</v>
      </c>
      <c r="I310">
        <v>6</v>
      </c>
      <c r="J310" s="1">
        <v>29066</v>
      </c>
      <c r="K310" s="24" t="s">
        <v>1772</v>
      </c>
      <c r="L310" s="7">
        <f>EV[[#This Row],[Current_Debt]]/EV[[#This Row],[Monthly_Income]]</f>
        <v>0.81559010045457092</v>
      </c>
      <c r="M310" t="s">
        <v>1786</v>
      </c>
    </row>
    <row r="311" spans="1:13" x14ac:dyDescent="0.3">
      <c r="A311">
        <v>310</v>
      </c>
      <c r="B311" t="s">
        <v>1580</v>
      </c>
      <c r="C311">
        <v>20</v>
      </c>
      <c r="D311">
        <v>75264</v>
      </c>
      <c r="E311" s="1">
        <v>1995418</v>
      </c>
      <c r="F311">
        <v>8.1000000000000003E-2</v>
      </c>
      <c r="G311">
        <v>30</v>
      </c>
      <c r="H311">
        <v>742</v>
      </c>
      <c r="I311">
        <v>8</v>
      </c>
      <c r="J311" s="1">
        <v>13117</v>
      </c>
      <c r="K311" s="25" t="s">
        <v>1773</v>
      </c>
      <c r="L311" s="7">
        <f>EV[[#This Row],[Current_Debt]]/EV[[#This Row],[Monthly_Income]]</f>
        <v>0.17427986819727892</v>
      </c>
      <c r="M311" t="s">
        <v>1784</v>
      </c>
    </row>
    <row r="312" spans="1:13" x14ac:dyDescent="0.3">
      <c r="A312">
        <v>311</v>
      </c>
      <c r="B312" t="s">
        <v>1581</v>
      </c>
      <c r="C312">
        <v>41</v>
      </c>
      <c r="D312">
        <v>112631</v>
      </c>
      <c r="E312" s="1">
        <v>2238438</v>
      </c>
      <c r="F312">
        <v>0.114</v>
      </c>
      <c r="G312">
        <v>30</v>
      </c>
      <c r="H312">
        <v>782</v>
      </c>
      <c r="I312">
        <v>15</v>
      </c>
      <c r="J312" s="1">
        <v>47049</v>
      </c>
      <c r="K312" s="24" t="s">
        <v>1772</v>
      </c>
      <c r="L312" s="7">
        <f>EV[[#This Row],[Current_Debt]]/EV[[#This Row],[Monthly_Income]]</f>
        <v>0.41772691354955566</v>
      </c>
      <c r="M312" t="s">
        <v>1786</v>
      </c>
    </row>
    <row r="313" spans="1:13" x14ac:dyDescent="0.3">
      <c r="A313">
        <v>312</v>
      </c>
      <c r="B313" t="s">
        <v>1582</v>
      </c>
      <c r="C313">
        <v>49</v>
      </c>
      <c r="D313">
        <v>54378</v>
      </c>
      <c r="E313" s="1">
        <v>2421491</v>
      </c>
      <c r="F313">
        <v>9.0999999999999998E-2</v>
      </c>
      <c r="G313">
        <v>30</v>
      </c>
      <c r="H313">
        <v>782</v>
      </c>
      <c r="I313">
        <v>14</v>
      </c>
      <c r="J313" s="1">
        <v>19512</v>
      </c>
      <c r="K313" s="24" t="s">
        <v>1772</v>
      </c>
      <c r="L313" s="7">
        <f>EV[[#This Row],[Current_Debt]]/EV[[#This Row],[Monthly_Income]]</f>
        <v>0.35882158225753064</v>
      </c>
      <c r="M313" t="s">
        <v>1786</v>
      </c>
    </row>
    <row r="314" spans="1:13" x14ac:dyDescent="0.3">
      <c r="A314">
        <v>313</v>
      </c>
      <c r="B314" t="s">
        <v>1583</v>
      </c>
      <c r="C314">
        <v>46</v>
      </c>
      <c r="D314">
        <v>65677</v>
      </c>
      <c r="E314" s="1">
        <v>1176457</v>
      </c>
      <c r="F314">
        <v>8.4000000000000005E-2</v>
      </c>
      <c r="G314">
        <v>10</v>
      </c>
      <c r="H314">
        <v>661</v>
      </c>
      <c r="I314">
        <v>11</v>
      </c>
      <c r="J314" s="1">
        <v>12515</v>
      </c>
      <c r="K314" s="24" t="s">
        <v>1772</v>
      </c>
      <c r="L314" s="7">
        <f>EV[[#This Row],[Current_Debt]]/EV[[#This Row],[Monthly_Income]]</f>
        <v>0.19055377072643392</v>
      </c>
      <c r="M314" t="s">
        <v>2292</v>
      </c>
    </row>
    <row r="315" spans="1:13" x14ac:dyDescent="0.3">
      <c r="A315">
        <v>314</v>
      </c>
      <c r="B315" t="s">
        <v>1584</v>
      </c>
      <c r="C315">
        <v>35</v>
      </c>
      <c r="D315">
        <v>50346</v>
      </c>
      <c r="E315" s="1">
        <v>1241244</v>
      </c>
      <c r="F315">
        <v>0.115</v>
      </c>
      <c r="G315">
        <v>15</v>
      </c>
      <c r="H315">
        <v>694</v>
      </c>
      <c r="I315">
        <v>15</v>
      </c>
      <c r="J315" s="1">
        <v>33635</v>
      </c>
      <c r="K315" s="24" t="s">
        <v>1772</v>
      </c>
      <c r="L315" s="7">
        <f>EV[[#This Row],[Current_Debt]]/EV[[#This Row],[Monthly_Income]]</f>
        <v>0.66807690779803763</v>
      </c>
      <c r="M315" t="s">
        <v>1786</v>
      </c>
    </row>
    <row r="316" spans="1:13" x14ac:dyDescent="0.3">
      <c r="A316">
        <v>315</v>
      </c>
      <c r="B316" t="s">
        <v>1585</v>
      </c>
      <c r="C316">
        <v>46</v>
      </c>
      <c r="D316">
        <v>59285</v>
      </c>
      <c r="E316" s="1">
        <v>664608</v>
      </c>
      <c r="F316">
        <v>0.11</v>
      </c>
      <c r="G316">
        <v>10</v>
      </c>
      <c r="H316">
        <v>746</v>
      </c>
      <c r="I316">
        <v>1</v>
      </c>
      <c r="J316" s="1">
        <v>17088</v>
      </c>
      <c r="K316" s="24" t="s">
        <v>1772</v>
      </c>
      <c r="L316" s="7">
        <f>EV[[#This Row],[Current_Debt]]/EV[[#This Row],[Monthly_Income]]</f>
        <v>0.2882347980096146</v>
      </c>
      <c r="M316" t="s">
        <v>1786</v>
      </c>
    </row>
    <row r="317" spans="1:13" x14ac:dyDescent="0.3">
      <c r="A317">
        <v>316</v>
      </c>
      <c r="B317" t="s">
        <v>1586</v>
      </c>
      <c r="C317">
        <v>60</v>
      </c>
      <c r="D317">
        <v>67811</v>
      </c>
      <c r="E317" s="1">
        <v>2287152</v>
      </c>
      <c r="F317">
        <v>0.08</v>
      </c>
      <c r="G317">
        <v>30</v>
      </c>
      <c r="H317">
        <v>822</v>
      </c>
      <c r="I317">
        <v>1</v>
      </c>
      <c r="J317" s="1">
        <v>6657</v>
      </c>
      <c r="K317" s="24" t="s">
        <v>1772</v>
      </c>
      <c r="L317" s="7">
        <f>EV[[#This Row],[Current_Debt]]/EV[[#This Row],[Monthly_Income]]</f>
        <v>9.8169913435873238E-2</v>
      </c>
      <c r="M317" t="s">
        <v>1786</v>
      </c>
    </row>
    <row r="318" spans="1:13" x14ac:dyDescent="0.3">
      <c r="A318">
        <v>317</v>
      </c>
      <c r="B318" t="s">
        <v>1587</v>
      </c>
      <c r="C318">
        <v>21</v>
      </c>
      <c r="D318">
        <v>15110</v>
      </c>
      <c r="E318" s="1">
        <v>1908850</v>
      </c>
      <c r="F318">
        <v>8.4000000000000005E-2</v>
      </c>
      <c r="G318">
        <v>30</v>
      </c>
      <c r="H318">
        <v>775</v>
      </c>
      <c r="I318">
        <v>12</v>
      </c>
      <c r="J318" s="1">
        <v>11122</v>
      </c>
      <c r="K318" s="25" t="s">
        <v>1773</v>
      </c>
      <c r="L318" s="7">
        <f>EV[[#This Row],[Current_Debt]]/EV[[#This Row],[Monthly_Income]]</f>
        <v>0.73606882859033751</v>
      </c>
      <c r="M318" t="s">
        <v>1784</v>
      </c>
    </row>
    <row r="319" spans="1:13" x14ac:dyDescent="0.3">
      <c r="A319">
        <v>318</v>
      </c>
      <c r="B319" t="s">
        <v>1588</v>
      </c>
      <c r="C319">
        <v>57</v>
      </c>
      <c r="D319">
        <v>118152</v>
      </c>
      <c r="E319" s="1">
        <v>1388537</v>
      </c>
      <c r="F319">
        <v>0.106</v>
      </c>
      <c r="G319">
        <v>15</v>
      </c>
      <c r="H319">
        <v>727</v>
      </c>
      <c r="I319">
        <v>8</v>
      </c>
      <c r="J319" s="1">
        <v>10043</v>
      </c>
      <c r="K319" s="24" t="s">
        <v>1774</v>
      </c>
      <c r="L319" s="7">
        <f>EV[[#This Row],[Current_Debt]]/EV[[#This Row],[Monthly_Income]]</f>
        <v>8.500067709391293E-2</v>
      </c>
      <c r="M319" t="s">
        <v>1785</v>
      </c>
    </row>
    <row r="320" spans="1:13" x14ac:dyDescent="0.3">
      <c r="A320">
        <v>319</v>
      </c>
      <c r="B320" t="s">
        <v>1589</v>
      </c>
      <c r="C320">
        <v>25</v>
      </c>
      <c r="D320">
        <v>118391</v>
      </c>
      <c r="E320" s="1">
        <v>1829469</v>
      </c>
      <c r="F320">
        <v>8.8999999999999996E-2</v>
      </c>
      <c r="G320">
        <v>10</v>
      </c>
      <c r="H320">
        <v>823</v>
      </c>
      <c r="I320">
        <v>9</v>
      </c>
      <c r="J320" s="1">
        <v>33004</v>
      </c>
      <c r="K320" s="24" t="s">
        <v>1772</v>
      </c>
      <c r="L320" s="7">
        <f>EV[[#This Row],[Current_Debt]]/EV[[#This Row],[Monthly_Income]]</f>
        <v>0.27877119037764697</v>
      </c>
      <c r="M320" t="s">
        <v>1786</v>
      </c>
    </row>
    <row r="321" spans="1:13" x14ac:dyDescent="0.3">
      <c r="A321">
        <v>320</v>
      </c>
      <c r="B321" t="s">
        <v>1590</v>
      </c>
      <c r="C321">
        <v>31</v>
      </c>
      <c r="D321">
        <v>54263</v>
      </c>
      <c r="E321" s="1">
        <v>2281881</v>
      </c>
      <c r="F321">
        <v>9.8000000000000004E-2</v>
      </c>
      <c r="G321">
        <v>15</v>
      </c>
      <c r="H321">
        <v>742</v>
      </c>
      <c r="I321">
        <v>14</v>
      </c>
      <c r="J321" s="1">
        <v>41565</v>
      </c>
      <c r="K321" s="24" t="s">
        <v>1772</v>
      </c>
      <c r="L321" s="7">
        <f>EV[[#This Row],[Current_Debt]]/EV[[#This Row],[Monthly_Income]]</f>
        <v>0.76599155962626464</v>
      </c>
      <c r="M321" t="s">
        <v>1786</v>
      </c>
    </row>
    <row r="322" spans="1:13" x14ac:dyDescent="0.3">
      <c r="A322">
        <v>321</v>
      </c>
      <c r="B322" t="s">
        <v>1591</v>
      </c>
      <c r="C322">
        <v>20</v>
      </c>
      <c r="D322">
        <v>82114</v>
      </c>
      <c r="E322" s="1">
        <v>1643131</v>
      </c>
      <c r="F322">
        <v>9.1999999999999998E-2</v>
      </c>
      <c r="G322">
        <v>10</v>
      </c>
      <c r="H322">
        <v>814</v>
      </c>
      <c r="I322">
        <v>12</v>
      </c>
      <c r="J322" s="1">
        <v>12519</v>
      </c>
      <c r="K322" s="25" t="s">
        <v>1773</v>
      </c>
      <c r="L322" s="7">
        <f>EV[[#This Row],[Current_Debt]]/EV[[#This Row],[Monthly_Income]]</f>
        <v>0.15245877682246634</v>
      </c>
      <c r="M322" t="s">
        <v>1784</v>
      </c>
    </row>
    <row r="323" spans="1:13" x14ac:dyDescent="0.3">
      <c r="A323">
        <v>322</v>
      </c>
      <c r="B323" t="s">
        <v>1592</v>
      </c>
      <c r="C323">
        <v>24</v>
      </c>
      <c r="D323">
        <v>66176</v>
      </c>
      <c r="E323" s="1">
        <v>871954</v>
      </c>
      <c r="F323">
        <v>0.11899999999999999</v>
      </c>
      <c r="G323">
        <v>20</v>
      </c>
      <c r="H323">
        <v>765</v>
      </c>
      <c r="I323">
        <v>2</v>
      </c>
      <c r="J323" s="1">
        <v>48795</v>
      </c>
      <c r="K323" s="25" t="s">
        <v>1773</v>
      </c>
      <c r="L323" s="7">
        <f>EV[[#This Row],[Current_Debt]]/EV[[#This Row],[Monthly_Income]]</f>
        <v>0.73735191005802703</v>
      </c>
      <c r="M323" t="s">
        <v>1784</v>
      </c>
    </row>
    <row r="324" spans="1:13" x14ac:dyDescent="0.3">
      <c r="A324">
        <v>323</v>
      </c>
      <c r="B324" t="s">
        <v>1593</v>
      </c>
      <c r="C324">
        <v>41</v>
      </c>
      <c r="D324">
        <v>89640</v>
      </c>
      <c r="E324" s="1">
        <v>1026886</v>
      </c>
      <c r="F324">
        <v>0.106</v>
      </c>
      <c r="G324">
        <v>20</v>
      </c>
      <c r="H324">
        <v>839</v>
      </c>
      <c r="I324">
        <v>5</v>
      </c>
      <c r="J324" s="1">
        <v>32327</v>
      </c>
      <c r="K324" s="24" t="s">
        <v>1772</v>
      </c>
      <c r="L324" s="7">
        <f>EV[[#This Row],[Current_Debt]]/EV[[#This Row],[Monthly_Income]]</f>
        <v>0.3606314145470772</v>
      </c>
      <c r="M324" t="s">
        <v>1786</v>
      </c>
    </row>
    <row r="325" spans="1:13" x14ac:dyDescent="0.3">
      <c r="A325">
        <v>324</v>
      </c>
      <c r="B325" t="s">
        <v>1594</v>
      </c>
      <c r="C325">
        <v>45</v>
      </c>
      <c r="D325">
        <v>110889</v>
      </c>
      <c r="E325" s="1">
        <v>697469</v>
      </c>
      <c r="F325">
        <v>0.11600000000000001</v>
      </c>
      <c r="G325">
        <v>10</v>
      </c>
      <c r="H325">
        <v>765</v>
      </c>
      <c r="I325">
        <v>14</v>
      </c>
      <c r="J325" s="1">
        <v>47616</v>
      </c>
      <c r="K325" s="24" t="s">
        <v>1772</v>
      </c>
      <c r="L325" s="7">
        <f>EV[[#This Row],[Current_Debt]]/EV[[#This Row],[Monthly_Income]]</f>
        <v>0.42940237534832132</v>
      </c>
      <c r="M325" t="s">
        <v>1786</v>
      </c>
    </row>
    <row r="326" spans="1:13" x14ac:dyDescent="0.3">
      <c r="A326">
        <v>325</v>
      </c>
      <c r="B326" t="s">
        <v>1595</v>
      </c>
      <c r="C326">
        <v>60</v>
      </c>
      <c r="D326">
        <v>66025</v>
      </c>
      <c r="E326" s="1">
        <v>1691874</v>
      </c>
      <c r="F326">
        <v>0.106</v>
      </c>
      <c r="G326">
        <v>25</v>
      </c>
      <c r="H326">
        <v>637</v>
      </c>
      <c r="I326">
        <v>6</v>
      </c>
      <c r="J326" s="1">
        <v>21291</v>
      </c>
      <c r="K326" s="24" t="s">
        <v>1773</v>
      </c>
      <c r="L326" s="7">
        <f>EV[[#This Row],[Current_Debt]]/EV[[#This Row],[Monthly_Income]]</f>
        <v>0.32246876183263917</v>
      </c>
      <c r="M326" t="s">
        <v>2291</v>
      </c>
    </row>
    <row r="327" spans="1:13" x14ac:dyDescent="0.3">
      <c r="A327">
        <v>326</v>
      </c>
      <c r="B327" t="s">
        <v>1596</v>
      </c>
      <c r="C327">
        <v>65</v>
      </c>
      <c r="D327">
        <v>82266</v>
      </c>
      <c r="E327" s="1">
        <v>2367412</v>
      </c>
      <c r="F327">
        <v>8.7999999999999995E-2</v>
      </c>
      <c r="G327">
        <v>15</v>
      </c>
      <c r="H327">
        <v>610</v>
      </c>
      <c r="I327">
        <v>15</v>
      </c>
      <c r="J327" s="1">
        <v>21389</v>
      </c>
      <c r="K327" s="24" t="s">
        <v>1773</v>
      </c>
      <c r="L327" s="7">
        <f>EV[[#This Row],[Current_Debt]]/EV[[#This Row],[Monthly_Income]]</f>
        <v>0.25999805508958745</v>
      </c>
      <c r="M327" t="s">
        <v>2291</v>
      </c>
    </row>
    <row r="328" spans="1:13" x14ac:dyDescent="0.3">
      <c r="A328">
        <v>327</v>
      </c>
      <c r="B328" t="s">
        <v>1597</v>
      </c>
      <c r="C328">
        <v>44</v>
      </c>
      <c r="D328">
        <v>41580</v>
      </c>
      <c r="E328" s="1">
        <v>949854</v>
      </c>
      <c r="F328">
        <v>0.11600000000000001</v>
      </c>
      <c r="G328">
        <v>10</v>
      </c>
      <c r="H328">
        <v>792</v>
      </c>
      <c r="I328">
        <v>11</v>
      </c>
      <c r="J328" s="1">
        <v>40731</v>
      </c>
      <c r="K328" s="24" t="s">
        <v>1772</v>
      </c>
      <c r="L328" s="7">
        <f>EV[[#This Row],[Current_Debt]]/EV[[#This Row],[Monthly_Income]]</f>
        <v>0.97958152958152955</v>
      </c>
      <c r="M328" t="s">
        <v>1786</v>
      </c>
    </row>
    <row r="329" spans="1:13" x14ac:dyDescent="0.3">
      <c r="A329">
        <v>328</v>
      </c>
      <c r="B329" t="s">
        <v>1598</v>
      </c>
      <c r="C329">
        <v>59</v>
      </c>
      <c r="D329">
        <v>69622</v>
      </c>
      <c r="E329" s="1">
        <v>790480</v>
      </c>
      <c r="F329">
        <v>0.1</v>
      </c>
      <c r="G329">
        <v>20</v>
      </c>
      <c r="H329">
        <v>753</v>
      </c>
      <c r="I329">
        <v>7</v>
      </c>
      <c r="J329" s="1">
        <v>396</v>
      </c>
      <c r="K329" s="26" t="s">
        <v>1774</v>
      </c>
      <c r="L329" s="7">
        <f>EV[[#This Row],[Current_Debt]]/EV[[#This Row],[Monthly_Income]]</f>
        <v>5.6878572864899023E-3</v>
      </c>
      <c r="M329" t="s">
        <v>1785</v>
      </c>
    </row>
    <row r="330" spans="1:13" x14ac:dyDescent="0.3">
      <c r="A330">
        <v>329</v>
      </c>
      <c r="B330" t="s">
        <v>1599</v>
      </c>
      <c r="C330">
        <v>46</v>
      </c>
      <c r="D330">
        <v>48302</v>
      </c>
      <c r="E330" s="1">
        <v>1259586</v>
      </c>
      <c r="F330">
        <v>0.09</v>
      </c>
      <c r="G330">
        <v>20</v>
      </c>
      <c r="H330">
        <v>683</v>
      </c>
      <c r="I330">
        <v>0</v>
      </c>
      <c r="J330" s="1">
        <v>764</v>
      </c>
      <c r="K330" s="24" t="s">
        <v>1774</v>
      </c>
      <c r="L330" s="7">
        <f>EV[[#This Row],[Current_Debt]]/EV[[#This Row],[Monthly_Income]]</f>
        <v>1.5817150428553684E-2</v>
      </c>
      <c r="M330" t="s">
        <v>2290</v>
      </c>
    </row>
    <row r="331" spans="1:13" x14ac:dyDescent="0.3">
      <c r="A331">
        <v>330</v>
      </c>
      <c r="B331" t="s">
        <v>1600</v>
      </c>
      <c r="C331">
        <v>60</v>
      </c>
      <c r="D331">
        <v>78722</v>
      </c>
      <c r="E331" s="1">
        <v>1216134</v>
      </c>
      <c r="F331">
        <v>0.09</v>
      </c>
      <c r="G331">
        <v>10</v>
      </c>
      <c r="H331">
        <v>732</v>
      </c>
      <c r="I331">
        <v>6</v>
      </c>
      <c r="J331" s="1">
        <v>34412</v>
      </c>
      <c r="K331" s="24" t="s">
        <v>1772</v>
      </c>
      <c r="L331" s="7">
        <f>EV[[#This Row],[Current_Debt]]/EV[[#This Row],[Monthly_Income]]</f>
        <v>0.43713320291659258</v>
      </c>
      <c r="M331" t="s">
        <v>1786</v>
      </c>
    </row>
    <row r="332" spans="1:13" x14ac:dyDescent="0.3">
      <c r="A332">
        <v>331</v>
      </c>
      <c r="B332" t="s">
        <v>1601</v>
      </c>
      <c r="C332">
        <v>56</v>
      </c>
      <c r="D332">
        <v>88195</v>
      </c>
      <c r="E332" s="1">
        <v>1650784</v>
      </c>
      <c r="F332">
        <v>0.11</v>
      </c>
      <c r="G332">
        <v>30</v>
      </c>
      <c r="H332">
        <v>844</v>
      </c>
      <c r="I332">
        <v>4</v>
      </c>
      <c r="J332" s="1">
        <v>34188</v>
      </c>
      <c r="K332" s="24" t="s">
        <v>1772</v>
      </c>
      <c r="L332" s="7">
        <f>EV[[#This Row],[Current_Debt]]/EV[[#This Row],[Monthly_Income]]</f>
        <v>0.38764102273371509</v>
      </c>
      <c r="M332" t="s">
        <v>1786</v>
      </c>
    </row>
    <row r="333" spans="1:13" x14ac:dyDescent="0.3">
      <c r="A333">
        <v>332</v>
      </c>
      <c r="B333" t="s">
        <v>1602</v>
      </c>
      <c r="C333">
        <v>39</v>
      </c>
      <c r="D333">
        <v>45425</v>
      </c>
      <c r="E333" s="1">
        <v>640690</v>
      </c>
      <c r="F333">
        <v>9.5000000000000001E-2</v>
      </c>
      <c r="G333">
        <v>15</v>
      </c>
      <c r="H333">
        <v>739</v>
      </c>
      <c r="I333">
        <v>6</v>
      </c>
      <c r="J333" s="1">
        <v>26059</v>
      </c>
      <c r="K333" s="24" t="s">
        <v>1772</v>
      </c>
      <c r="L333" s="7">
        <f>EV[[#This Row],[Current_Debt]]/EV[[#This Row],[Monthly_Income]]</f>
        <v>0.5736708860759494</v>
      </c>
      <c r="M333" t="s">
        <v>1786</v>
      </c>
    </row>
    <row r="334" spans="1:13" x14ac:dyDescent="0.3">
      <c r="A334">
        <v>333</v>
      </c>
      <c r="B334" t="s">
        <v>1603</v>
      </c>
      <c r="C334">
        <v>56</v>
      </c>
      <c r="D334">
        <v>28747</v>
      </c>
      <c r="E334" s="1">
        <v>654424</v>
      </c>
      <c r="F334">
        <v>9.2999999999999999E-2</v>
      </c>
      <c r="G334">
        <v>25</v>
      </c>
      <c r="H334">
        <v>633</v>
      </c>
      <c r="I334">
        <v>10</v>
      </c>
      <c r="J334" s="1">
        <v>14268</v>
      </c>
      <c r="K334" s="24" t="s">
        <v>1773</v>
      </c>
      <c r="L334" s="7">
        <f>EV[[#This Row],[Current_Debt]]/EV[[#This Row],[Monthly_Income]]</f>
        <v>0.49633005183149548</v>
      </c>
      <c r="M334" t="s">
        <v>2291</v>
      </c>
    </row>
    <row r="335" spans="1:13" x14ac:dyDescent="0.3">
      <c r="A335">
        <v>334</v>
      </c>
      <c r="B335" t="s">
        <v>1604</v>
      </c>
      <c r="C335">
        <v>28</v>
      </c>
      <c r="D335">
        <v>27838</v>
      </c>
      <c r="E335" s="1">
        <v>599957</v>
      </c>
      <c r="F335">
        <v>8.6999999999999994E-2</v>
      </c>
      <c r="G335">
        <v>30</v>
      </c>
      <c r="H335">
        <v>734</v>
      </c>
      <c r="I335">
        <v>1</v>
      </c>
      <c r="J335" s="1">
        <v>27099</v>
      </c>
      <c r="K335" s="24" t="s">
        <v>1772</v>
      </c>
      <c r="L335" s="7">
        <f>EV[[#This Row],[Current_Debt]]/EV[[#This Row],[Monthly_Income]]</f>
        <v>0.97345355269775125</v>
      </c>
      <c r="M335" t="s">
        <v>1786</v>
      </c>
    </row>
    <row r="336" spans="1:13" x14ac:dyDescent="0.3">
      <c r="A336">
        <v>335</v>
      </c>
      <c r="B336" t="s">
        <v>1605</v>
      </c>
      <c r="C336">
        <v>42</v>
      </c>
      <c r="D336">
        <v>48088</v>
      </c>
      <c r="E336" s="1">
        <v>598152</v>
      </c>
      <c r="F336">
        <v>0.10100000000000001</v>
      </c>
      <c r="G336">
        <v>30</v>
      </c>
      <c r="H336">
        <v>711</v>
      </c>
      <c r="I336">
        <v>3</v>
      </c>
      <c r="J336" s="1">
        <v>2346</v>
      </c>
      <c r="K336" s="26" t="s">
        <v>1774</v>
      </c>
      <c r="L336" s="7">
        <f>EV[[#This Row],[Current_Debt]]/EV[[#This Row],[Monthly_Income]]</f>
        <v>4.8785559807020464E-2</v>
      </c>
      <c r="M336" t="s">
        <v>1785</v>
      </c>
    </row>
    <row r="337" spans="1:13" x14ac:dyDescent="0.3">
      <c r="A337">
        <v>336</v>
      </c>
      <c r="B337" t="s">
        <v>1606</v>
      </c>
      <c r="C337">
        <v>25</v>
      </c>
      <c r="D337">
        <v>31439</v>
      </c>
      <c r="E337" s="1">
        <v>1472232</v>
      </c>
      <c r="F337">
        <v>8.3000000000000004E-2</v>
      </c>
      <c r="G337">
        <v>15</v>
      </c>
      <c r="H337">
        <v>834</v>
      </c>
      <c r="I337">
        <v>8</v>
      </c>
      <c r="J337" s="1">
        <v>15464</v>
      </c>
      <c r="K337" s="24" t="s">
        <v>1772</v>
      </c>
      <c r="L337" s="7">
        <f>EV[[#This Row],[Current_Debt]]/EV[[#This Row],[Monthly_Income]]</f>
        <v>0.49187315118165337</v>
      </c>
      <c r="M337" t="s">
        <v>1786</v>
      </c>
    </row>
    <row r="338" spans="1:13" x14ac:dyDescent="0.3">
      <c r="A338">
        <v>337</v>
      </c>
      <c r="B338" t="s">
        <v>1607</v>
      </c>
      <c r="C338">
        <v>65</v>
      </c>
      <c r="D338">
        <v>90205</v>
      </c>
      <c r="E338" s="1">
        <v>2030913</v>
      </c>
      <c r="F338">
        <v>8.2000000000000003E-2</v>
      </c>
      <c r="G338">
        <v>15</v>
      </c>
      <c r="H338">
        <v>781</v>
      </c>
      <c r="I338">
        <v>15</v>
      </c>
      <c r="J338" s="1">
        <v>1626</v>
      </c>
      <c r="K338" s="26" t="s">
        <v>1774</v>
      </c>
      <c r="L338" s="7">
        <f>EV[[#This Row],[Current_Debt]]/EV[[#This Row],[Monthly_Income]]</f>
        <v>1.8025608336566711E-2</v>
      </c>
      <c r="M338" t="s">
        <v>1785</v>
      </c>
    </row>
    <row r="339" spans="1:13" x14ac:dyDescent="0.3">
      <c r="A339">
        <v>338</v>
      </c>
      <c r="B339" t="s">
        <v>1608</v>
      </c>
      <c r="C339">
        <v>29</v>
      </c>
      <c r="D339">
        <v>27659</v>
      </c>
      <c r="E339" s="1">
        <v>2032337</v>
      </c>
      <c r="F339">
        <v>0.12</v>
      </c>
      <c r="G339">
        <v>30</v>
      </c>
      <c r="H339">
        <v>779</v>
      </c>
      <c r="I339">
        <v>4</v>
      </c>
      <c r="J339" s="1">
        <v>38219</v>
      </c>
      <c r="K339" s="24" t="s">
        <v>1772</v>
      </c>
      <c r="L339" s="7">
        <f>EV[[#This Row],[Current_Debt]]/EV[[#This Row],[Monthly_Income]]</f>
        <v>1.3817925449220869</v>
      </c>
      <c r="M339" t="s">
        <v>1786</v>
      </c>
    </row>
    <row r="340" spans="1:13" x14ac:dyDescent="0.3">
      <c r="A340">
        <v>339</v>
      </c>
      <c r="B340" t="s">
        <v>1609</v>
      </c>
      <c r="C340">
        <v>59</v>
      </c>
      <c r="D340">
        <v>86242</v>
      </c>
      <c r="E340" s="1">
        <v>1087913</v>
      </c>
      <c r="F340">
        <v>8.3000000000000004E-2</v>
      </c>
      <c r="G340">
        <v>25</v>
      </c>
      <c r="H340">
        <v>697</v>
      </c>
      <c r="I340">
        <v>8</v>
      </c>
      <c r="J340" s="1">
        <v>15840</v>
      </c>
      <c r="K340" s="24" t="s">
        <v>1772</v>
      </c>
      <c r="L340" s="7">
        <f>EV[[#This Row],[Current_Debt]]/EV[[#This Row],[Monthly_Income]]</f>
        <v>0.18366920989772964</v>
      </c>
      <c r="M340" t="s">
        <v>1786</v>
      </c>
    </row>
    <row r="341" spans="1:13" x14ac:dyDescent="0.3">
      <c r="A341">
        <v>340</v>
      </c>
      <c r="B341" t="s">
        <v>1610</v>
      </c>
      <c r="C341">
        <v>52</v>
      </c>
      <c r="D341">
        <v>101809</v>
      </c>
      <c r="E341" s="1">
        <v>2206342</v>
      </c>
      <c r="F341">
        <v>0.104</v>
      </c>
      <c r="G341">
        <v>15</v>
      </c>
      <c r="H341">
        <v>649</v>
      </c>
      <c r="I341">
        <v>12</v>
      </c>
      <c r="J341" s="1">
        <v>16094</v>
      </c>
      <c r="K341" s="24" t="s">
        <v>1773</v>
      </c>
      <c r="L341" s="7">
        <f>EV[[#This Row],[Current_Debt]]/EV[[#This Row],[Monthly_Income]]</f>
        <v>0.15808032688662102</v>
      </c>
      <c r="M341" t="s">
        <v>2291</v>
      </c>
    </row>
    <row r="342" spans="1:13" x14ac:dyDescent="0.3">
      <c r="A342">
        <v>341</v>
      </c>
      <c r="B342" t="s">
        <v>1611</v>
      </c>
      <c r="C342">
        <v>55</v>
      </c>
      <c r="D342">
        <v>80144</v>
      </c>
      <c r="E342" s="1">
        <v>1971382</v>
      </c>
      <c r="F342">
        <v>0.1</v>
      </c>
      <c r="G342">
        <v>10</v>
      </c>
      <c r="H342">
        <v>651</v>
      </c>
      <c r="I342">
        <v>12</v>
      </c>
      <c r="J342" s="1">
        <v>39710</v>
      </c>
      <c r="K342" s="24" t="s">
        <v>1772</v>
      </c>
      <c r="L342" s="7">
        <f>EV[[#This Row],[Current_Debt]]/EV[[#This Row],[Monthly_Income]]</f>
        <v>0.49548313036534236</v>
      </c>
      <c r="M342" t="s">
        <v>2292</v>
      </c>
    </row>
    <row r="343" spans="1:13" x14ac:dyDescent="0.3">
      <c r="A343">
        <v>342</v>
      </c>
      <c r="B343" t="s">
        <v>1612</v>
      </c>
      <c r="C343">
        <v>22</v>
      </c>
      <c r="D343">
        <v>43981</v>
      </c>
      <c r="E343" s="1">
        <v>1782786</v>
      </c>
      <c r="F343">
        <v>9.0999999999999998E-2</v>
      </c>
      <c r="G343">
        <v>20</v>
      </c>
      <c r="H343">
        <v>670</v>
      </c>
      <c r="I343">
        <v>5</v>
      </c>
      <c r="J343" s="1">
        <v>40274</v>
      </c>
      <c r="K343" s="25" t="s">
        <v>1773</v>
      </c>
      <c r="L343" s="7">
        <f>EV[[#This Row],[Current_Debt]]/EV[[#This Row],[Monthly_Income]]</f>
        <v>0.91571360360155518</v>
      </c>
      <c r="M343" t="s">
        <v>1784</v>
      </c>
    </row>
    <row r="344" spans="1:13" x14ac:dyDescent="0.3">
      <c r="A344">
        <v>343</v>
      </c>
      <c r="B344" t="s">
        <v>1613</v>
      </c>
      <c r="C344">
        <v>40</v>
      </c>
      <c r="D344">
        <v>49277</v>
      </c>
      <c r="E344" s="1">
        <v>1219319</v>
      </c>
      <c r="F344">
        <v>0.104</v>
      </c>
      <c r="G344">
        <v>10</v>
      </c>
      <c r="H344">
        <v>817</v>
      </c>
      <c r="I344">
        <v>5</v>
      </c>
      <c r="J344" s="1">
        <v>20692</v>
      </c>
      <c r="K344" s="24" t="s">
        <v>1772</v>
      </c>
      <c r="L344" s="7">
        <f>EV[[#This Row],[Current_Debt]]/EV[[#This Row],[Monthly_Income]]</f>
        <v>0.41991192645656189</v>
      </c>
      <c r="M344" t="s">
        <v>1786</v>
      </c>
    </row>
    <row r="345" spans="1:13" x14ac:dyDescent="0.3">
      <c r="A345">
        <v>344</v>
      </c>
      <c r="B345" t="s">
        <v>1614</v>
      </c>
      <c r="C345">
        <v>61</v>
      </c>
      <c r="D345">
        <v>86369</v>
      </c>
      <c r="E345" s="1">
        <v>1854477</v>
      </c>
      <c r="F345">
        <v>9.8000000000000004E-2</v>
      </c>
      <c r="G345">
        <v>30</v>
      </c>
      <c r="H345">
        <v>790</v>
      </c>
      <c r="I345">
        <v>14</v>
      </c>
      <c r="J345" s="1">
        <v>27761</v>
      </c>
      <c r="K345" s="24" t="s">
        <v>1772</v>
      </c>
      <c r="L345" s="7">
        <f>EV[[#This Row],[Current_Debt]]/EV[[#This Row],[Monthly_Income]]</f>
        <v>0.32142319582257523</v>
      </c>
      <c r="M345" t="s">
        <v>1786</v>
      </c>
    </row>
    <row r="346" spans="1:13" x14ac:dyDescent="0.3">
      <c r="A346">
        <v>345</v>
      </c>
      <c r="B346" t="s">
        <v>1615</v>
      </c>
      <c r="C346">
        <v>59</v>
      </c>
      <c r="D346">
        <v>61618</v>
      </c>
      <c r="E346" s="1">
        <v>1983605</v>
      </c>
      <c r="F346">
        <v>0.104</v>
      </c>
      <c r="G346">
        <v>10</v>
      </c>
      <c r="H346">
        <v>648</v>
      </c>
      <c r="I346">
        <v>11</v>
      </c>
      <c r="J346" s="1">
        <v>37973</v>
      </c>
      <c r="K346" s="24" t="s">
        <v>1773</v>
      </c>
      <c r="L346" s="7">
        <f>EV[[#This Row],[Current_Debt]]/EV[[#This Row],[Monthly_Income]]</f>
        <v>0.61626472783926778</v>
      </c>
      <c r="M346" t="s">
        <v>2291</v>
      </c>
    </row>
    <row r="347" spans="1:13" x14ac:dyDescent="0.3">
      <c r="A347">
        <v>346</v>
      </c>
      <c r="B347" t="s">
        <v>1616</v>
      </c>
      <c r="C347">
        <v>39</v>
      </c>
      <c r="D347">
        <v>17219</v>
      </c>
      <c r="E347" s="1">
        <v>1796050</v>
      </c>
      <c r="F347">
        <v>8.2000000000000003E-2</v>
      </c>
      <c r="G347">
        <v>15</v>
      </c>
      <c r="H347">
        <v>604</v>
      </c>
      <c r="I347">
        <v>15</v>
      </c>
      <c r="J347" s="1">
        <v>32781</v>
      </c>
      <c r="K347" s="24" t="s">
        <v>1773</v>
      </c>
      <c r="L347" s="7">
        <f>EV[[#This Row],[Current_Debt]]/EV[[#This Row],[Monthly_Income]]</f>
        <v>1.9037690922817818</v>
      </c>
      <c r="M347" t="s">
        <v>2291</v>
      </c>
    </row>
    <row r="348" spans="1:13" x14ac:dyDescent="0.3">
      <c r="A348">
        <v>347</v>
      </c>
      <c r="B348" t="s">
        <v>1617</v>
      </c>
      <c r="C348">
        <v>28</v>
      </c>
      <c r="D348">
        <v>22772</v>
      </c>
      <c r="E348" s="1">
        <v>1077287</v>
      </c>
      <c r="F348">
        <v>0.115</v>
      </c>
      <c r="G348">
        <v>10</v>
      </c>
      <c r="H348">
        <v>788</v>
      </c>
      <c r="I348">
        <v>3</v>
      </c>
      <c r="J348" s="1">
        <v>4009</v>
      </c>
      <c r="K348" s="26" t="s">
        <v>1774</v>
      </c>
      <c r="L348" s="7">
        <f>EV[[#This Row],[Current_Debt]]/EV[[#This Row],[Monthly_Income]]</f>
        <v>0.17604953451607236</v>
      </c>
      <c r="M348" t="s">
        <v>1785</v>
      </c>
    </row>
    <row r="349" spans="1:13" x14ac:dyDescent="0.3">
      <c r="A349">
        <v>348</v>
      </c>
      <c r="B349" t="s">
        <v>1618</v>
      </c>
      <c r="C349">
        <v>24</v>
      </c>
      <c r="D349">
        <v>118254</v>
      </c>
      <c r="E349" s="1">
        <v>725327</v>
      </c>
      <c r="F349">
        <v>0.11700000000000001</v>
      </c>
      <c r="G349">
        <v>10</v>
      </c>
      <c r="H349">
        <v>739</v>
      </c>
      <c r="I349">
        <v>15</v>
      </c>
      <c r="J349" s="1">
        <v>20680</v>
      </c>
      <c r="K349" s="25" t="s">
        <v>1773</v>
      </c>
      <c r="L349" s="7">
        <f>EV[[#This Row],[Current_Debt]]/EV[[#This Row],[Monthly_Income]]</f>
        <v>0.17487780540193143</v>
      </c>
      <c r="M349" t="s">
        <v>1784</v>
      </c>
    </row>
    <row r="350" spans="1:13" x14ac:dyDescent="0.3">
      <c r="A350">
        <v>349</v>
      </c>
      <c r="B350" t="s">
        <v>1619</v>
      </c>
      <c r="C350">
        <v>44</v>
      </c>
      <c r="D350">
        <v>15150</v>
      </c>
      <c r="E350" s="1">
        <v>2334252</v>
      </c>
      <c r="F350">
        <v>8.2000000000000003E-2</v>
      </c>
      <c r="G350">
        <v>20</v>
      </c>
      <c r="H350">
        <v>620</v>
      </c>
      <c r="I350">
        <v>4</v>
      </c>
      <c r="J350" s="1">
        <v>49565</v>
      </c>
      <c r="K350" s="24" t="s">
        <v>1773</v>
      </c>
      <c r="L350" s="7">
        <f>EV[[#This Row],[Current_Debt]]/EV[[#This Row],[Monthly_Income]]</f>
        <v>3.2716171617161716</v>
      </c>
      <c r="M350" t="s">
        <v>2291</v>
      </c>
    </row>
    <row r="351" spans="1:13" x14ac:dyDescent="0.3">
      <c r="A351">
        <v>350</v>
      </c>
      <c r="B351" t="s">
        <v>1620</v>
      </c>
      <c r="C351">
        <v>55</v>
      </c>
      <c r="D351">
        <v>73445</v>
      </c>
      <c r="E351" s="1">
        <v>1043288</v>
      </c>
      <c r="F351">
        <v>0.107</v>
      </c>
      <c r="G351">
        <v>10</v>
      </c>
      <c r="H351">
        <v>639</v>
      </c>
      <c r="I351">
        <v>12</v>
      </c>
      <c r="J351" s="1">
        <v>30278</v>
      </c>
      <c r="K351" s="24" t="s">
        <v>1773</v>
      </c>
      <c r="L351" s="7">
        <f>EV[[#This Row],[Current_Debt]]/EV[[#This Row],[Monthly_Income]]</f>
        <v>0.41225406766968481</v>
      </c>
      <c r="M351" t="s">
        <v>2291</v>
      </c>
    </row>
    <row r="352" spans="1:13" x14ac:dyDescent="0.3">
      <c r="A352">
        <v>351</v>
      </c>
      <c r="B352" t="s">
        <v>1621</v>
      </c>
      <c r="C352">
        <v>37</v>
      </c>
      <c r="D352">
        <v>85676</v>
      </c>
      <c r="E352" s="1">
        <v>550949</v>
      </c>
      <c r="F352">
        <v>0.105</v>
      </c>
      <c r="G352">
        <v>30</v>
      </c>
      <c r="H352">
        <v>828</v>
      </c>
      <c r="I352">
        <v>15</v>
      </c>
      <c r="J352" s="1">
        <v>26056</v>
      </c>
      <c r="K352" s="24" t="s">
        <v>1772</v>
      </c>
      <c r="L352" s="7">
        <f>EV[[#This Row],[Current_Debt]]/EV[[#This Row],[Monthly_Income]]</f>
        <v>0.30412250805359725</v>
      </c>
      <c r="M352" t="s">
        <v>1786</v>
      </c>
    </row>
    <row r="353" spans="1:13" x14ac:dyDescent="0.3">
      <c r="A353">
        <v>352</v>
      </c>
      <c r="B353" t="s">
        <v>1622</v>
      </c>
      <c r="C353">
        <v>57</v>
      </c>
      <c r="D353">
        <v>25406</v>
      </c>
      <c r="E353" s="1">
        <v>2490850</v>
      </c>
      <c r="F353">
        <v>0.11799999999999999</v>
      </c>
      <c r="G353">
        <v>10</v>
      </c>
      <c r="H353">
        <v>776</v>
      </c>
      <c r="I353">
        <v>4</v>
      </c>
      <c r="J353" s="1">
        <v>41012</v>
      </c>
      <c r="K353" s="24" t="s">
        <v>1772</v>
      </c>
      <c r="L353" s="7">
        <f>EV[[#This Row],[Current_Debt]]/EV[[#This Row],[Monthly_Income]]</f>
        <v>1.6142643470046445</v>
      </c>
      <c r="M353" t="s">
        <v>1786</v>
      </c>
    </row>
    <row r="354" spans="1:13" x14ac:dyDescent="0.3">
      <c r="A354">
        <v>353</v>
      </c>
      <c r="B354" t="s">
        <v>1623</v>
      </c>
      <c r="C354">
        <v>26</v>
      </c>
      <c r="D354">
        <v>118585</v>
      </c>
      <c r="E354" s="1">
        <v>1299191</v>
      </c>
      <c r="F354">
        <v>9.4E-2</v>
      </c>
      <c r="G354">
        <v>20</v>
      </c>
      <c r="H354">
        <v>644</v>
      </c>
      <c r="I354">
        <v>7</v>
      </c>
      <c r="J354" s="1">
        <v>40204</v>
      </c>
      <c r="K354" s="24" t="s">
        <v>1773</v>
      </c>
      <c r="L354" s="7">
        <f>EV[[#This Row],[Current_Debt]]/EV[[#This Row],[Monthly_Income]]</f>
        <v>0.33903107475650379</v>
      </c>
      <c r="M354" t="s">
        <v>2291</v>
      </c>
    </row>
    <row r="355" spans="1:13" x14ac:dyDescent="0.3">
      <c r="A355">
        <v>354</v>
      </c>
      <c r="B355" t="s">
        <v>1624</v>
      </c>
      <c r="C355">
        <v>50</v>
      </c>
      <c r="D355">
        <v>58716</v>
      </c>
      <c r="E355" s="1">
        <v>1600710</v>
      </c>
      <c r="F355">
        <v>0.114</v>
      </c>
      <c r="G355">
        <v>30</v>
      </c>
      <c r="H355">
        <v>780</v>
      </c>
      <c r="I355">
        <v>7</v>
      </c>
      <c r="J355" s="1">
        <v>32788</v>
      </c>
      <c r="K355" s="24" t="s">
        <v>1772</v>
      </c>
      <c r="L355" s="7">
        <f>EV[[#This Row],[Current_Debt]]/EV[[#This Row],[Monthly_Income]]</f>
        <v>0.55841678588459709</v>
      </c>
      <c r="M355" t="s">
        <v>1786</v>
      </c>
    </row>
    <row r="356" spans="1:13" x14ac:dyDescent="0.3">
      <c r="A356">
        <v>355</v>
      </c>
      <c r="B356" t="s">
        <v>1625</v>
      </c>
      <c r="C356">
        <v>44</v>
      </c>
      <c r="D356">
        <v>72651</v>
      </c>
      <c r="E356" s="1">
        <v>910350</v>
      </c>
      <c r="F356">
        <v>9.9000000000000005E-2</v>
      </c>
      <c r="G356">
        <v>25</v>
      </c>
      <c r="H356">
        <v>655</v>
      </c>
      <c r="I356">
        <v>13</v>
      </c>
      <c r="J356" s="1">
        <v>37436</v>
      </c>
      <c r="K356" s="24" t="s">
        <v>1772</v>
      </c>
      <c r="L356" s="7">
        <f>EV[[#This Row],[Current_Debt]]/EV[[#This Row],[Monthly_Income]]</f>
        <v>0.51528540556909064</v>
      </c>
      <c r="M356" t="s">
        <v>2292</v>
      </c>
    </row>
    <row r="357" spans="1:13" x14ac:dyDescent="0.3">
      <c r="A357">
        <v>356</v>
      </c>
      <c r="B357" t="s">
        <v>1626</v>
      </c>
      <c r="C357">
        <v>44</v>
      </c>
      <c r="D357">
        <v>19208</v>
      </c>
      <c r="E357" s="1">
        <v>1897185</v>
      </c>
      <c r="F357">
        <v>9.7000000000000003E-2</v>
      </c>
      <c r="G357">
        <v>20</v>
      </c>
      <c r="H357">
        <v>805</v>
      </c>
      <c r="I357">
        <v>8</v>
      </c>
      <c r="J357" s="1">
        <v>47531</v>
      </c>
      <c r="K357" s="24" t="s">
        <v>1772</v>
      </c>
      <c r="L357" s="7">
        <f>EV[[#This Row],[Current_Debt]]/EV[[#This Row],[Monthly_Income]]</f>
        <v>2.4745418575593501</v>
      </c>
      <c r="M357" t="s">
        <v>1786</v>
      </c>
    </row>
    <row r="358" spans="1:13" x14ac:dyDescent="0.3">
      <c r="A358">
        <v>357</v>
      </c>
      <c r="B358" t="s">
        <v>1627</v>
      </c>
      <c r="C358">
        <v>46</v>
      </c>
      <c r="D358">
        <v>95359</v>
      </c>
      <c r="E358" s="1">
        <v>929576</v>
      </c>
      <c r="F358">
        <v>9.1999999999999998E-2</v>
      </c>
      <c r="G358">
        <v>25</v>
      </c>
      <c r="H358">
        <v>652</v>
      </c>
      <c r="I358">
        <v>6</v>
      </c>
      <c r="J358" s="1">
        <v>47725</v>
      </c>
      <c r="K358" s="24" t="s">
        <v>1772</v>
      </c>
      <c r="L358" s="7">
        <f>EV[[#This Row],[Current_Debt]]/EV[[#This Row],[Monthly_Income]]</f>
        <v>0.50047714426535517</v>
      </c>
      <c r="M358" t="s">
        <v>2292</v>
      </c>
    </row>
    <row r="359" spans="1:13" x14ac:dyDescent="0.3">
      <c r="A359">
        <v>358</v>
      </c>
      <c r="B359" t="s">
        <v>1628</v>
      </c>
      <c r="C359">
        <v>37</v>
      </c>
      <c r="D359">
        <v>59611</v>
      </c>
      <c r="E359" s="1">
        <v>1589174</v>
      </c>
      <c r="F359">
        <v>8.4000000000000005E-2</v>
      </c>
      <c r="G359">
        <v>15</v>
      </c>
      <c r="H359">
        <v>619</v>
      </c>
      <c r="I359">
        <v>2</v>
      </c>
      <c r="J359" s="1">
        <v>44265</v>
      </c>
      <c r="K359" s="24" t="s">
        <v>1773</v>
      </c>
      <c r="L359" s="7">
        <f>EV[[#This Row],[Current_Debt]]/EV[[#This Row],[Monthly_Income]]</f>
        <v>0.74256429182533423</v>
      </c>
      <c r="M359" t="s">
        <v>2291</v>
      </c>
    </row>
    <row r="360" spans="1:13" x14ac:dyDescent="0.3">
      <c r="A360">
        <v>359</v>
      </c>
      <c r="B360" t="s">
        <v>1629</v>
      </c>
      <c r="C360">
        <v>49</v>
      </c>
      <c r="D360">
        <v>99813</v>
      </c>
      <c r="E360" s="1">
        <v>2303716</v>
      </c>
      <c r="F360">
        <v>0.113</v>
      </c>
      <c r="G360">
        <v>30</v>
      </c>
      <c r="H360">
        <v>849</v>
      </c>
      <c r="I360">
        <v>13</v>
      </c>
      <c r="J360" s="1">
        <v>15646</v>
      </c>
      <c r="K360" s="24" t="s">
        <v>1772</v>
      </c>
      <c r="L360" s="7">
        <f>EV[[#This Row],[Current_Debt]]/EV[[#This Row],[Monthly_Income]]</f>
        <v>0.15675312835001454</v>
      </c>
      <c r="M360" t="s">
        <v>1786</v>
      </c>
    </row>
    <row r="361" spans="1:13" x14ac:dyDescent="0.3">
      <c r="A361">
        <v>360</v>
      </c>
      <c r="B361" t="s">
        <v>1630</v>
      </c>
      <c r="C361">
        <v>23</v>
      </c>
      <c r="D361">
        <v>39567</v>
      </c>
      <c r="E361" s="1">
        <v>1010997</v>
      </c>
      <c r="F361">
        <v>0.114</v>
      </c>
      <c r="G361">
        <v>25</v>
      </c>
      <c r="H361">
        <v>773</v>
      </c>
      <c r="I361">
        <v>8</v>
      </c>
      <c r="J361" s="1">
        <v>29479</v>
      </c>
      <c r="K361" s="25" t="s">
        <v>1773</v>
      </c>
      <c r="L361" s="7">
        <f>EV[[#This Row],[Current_Debt]]/EV[[#This Row],[Monthly_Income]]</f>
        <v>0.74504005863472089</v>
      </c>
      <c r="M361" t="s">
        <v>1784</v>
      </c>
    </row>
    <row r="362" spans="1:13" x14ac:dyDescent="0.3">
      <c r="A362">
        <v>361</v>
      </c>
      <c r="B362" t="s">
        <v>1631</v>
      </c>
      <c r="C362">
        <v>53</v>
      </c>
      <c r="D362">
        <v>50557</v>
      </c>
      <c r="E362" s="1">
        <v>606025</v>
      </c>
      <c r="F362">
        <v>0.09</v>
      </c>
      <c r="G362">
        <v>15</v>
      </c>
      <c r="H362">
        <v>710</v>
      </c>
      <c r="I362">
        <v>7</v>
      </c>
      <c r="J362" s="1">
        <v>30586</v>
      </c>
      <c r="K362" s="24" t="s">
        <v>1772</v>
      </c>
      <c r="L362" s="7">
        <f>EV[[#This Row],[Current_Debt]]/EV[[#This Row],[Monthly_Income]]</f>
        <v>0.60498051704017253</v>
      </c>
      <c r="M362" t="s">
        <v>1786</v>
      </c>
    </row>
    <row r="363" spans="1:13" x14ac:dyDescent="0.3">
      <c r="A363">
        <v>362</v>
      </c>
      <c r="B363" t="s">
        <v>1632</v>
      </c>
      <c r="C363">
        <v>40</v>
      </c>
      <c r="D363">
        <v>33092</v>
      </c>
      <c r="E363" s="1">
        <v>2005983</v>
      </c>
      <c r="F363">
        <v>0.11600000000000001</v>
      </c>
      <c r="G363">
        <v>20</v>
      </c>
      <c r="H363">
        <v>626</v>
      </c>
      <c r="I363">
        <v>5</v>
      </c>
      <c r="J363" s="1">
        <v>28644</v>
      </c>
      <c r="K363" s="24" t="s">
        <v>1773</v>
      </c>
      <c r="L363" s="7">
        <f>EV[[#This Row],[Current_Debt]]/EV[[#This Row],[Monthly_Income]]</f>
        <v>0.86558684878520487</v>
      </c>
      <c r="M363" t="s">
        <v>2291</v>
      </c>
    </row>
    <row r="364" spans="1:13" x14ac:dyDescent="0.3">
      <c r="A364">
        <v>363</v>
      </c>
      <c r="B364" t="s">
        <v>1633</v>
      </c>
      <c r="C364">
        <v>48</v>
      </c>
      <c r="D364">
        <v>74835</v>
      </c>
      <c r="E364" s="1">
        <v>2482397</v>
      </c>
      <c r="F364">
        <v>9.6000000000000002E-2</v>
      </c>
      <c r="G364">
        <v>15</v>
      </c>
      <c r="H364">
        <v>753</v>
      </c>
      <c r="I364">
        <v>10</v>
      </c>
      <c r="J364" s="1">
        <v>21618</v>
      </c>
      <c r="K364" s="24" t="s">
        <v>1772</v>
      </c>
      <c r="L364" s="7">
        <f>EV[[#This Row],[Current_Debt]]/EV[[#This Row],[Monthly_Income]]</f>
        <v>0.28887552615754658</v>
      </c>
      <c r="M364" t="s">
        <v>1786</v>
      </c>
    </row>
    <row r="365" spans="1:13" x14ac:dyDescent="0.3">
      <c r="A365">
        <v>364</v>
      </c>
      <c r="B365" t="s">
        <v>1634</v>
      </c>
      <c r="C365">
        <v>42</v>
      </c>
      <c r="D365">
        <v>101794</v>
      </c>
      <c r="E365" s="1">
        <v>2337063</v>
      </c>
      <c r="F365">
        <v>0.1</v>
      </c>
      <c r="G365">
        <v>10</v>
      </c>
      <c r="H365">
        <v>815</v>
      </c>
      <c r="I365">
        <v>13</v>
      </c>
      <c r="J365" s="1">
        <v>30656</v>
      </c>
      <c r="K365" s="24" t="s">
        <v>1772</v>
      </c>
      <c r="L365" s="7">
        <f>EV[[#This Row],[Current_Debt]]/EV[[#This Row],[Monthly_Income]]</f>
        <v>0.30115723913000764</v>
      </c>
      <c r="M365" t="s">
        <v>1786</v>
      </c>
    </row>
    <row r="366" spans="1:13" x14ac:dyDescent="0.3">
      <c r="A366">
        <v>365</v>
      </c>
      <c r="B366" t="s">
        <v>1635</v>
      </c>
      <c r="C366">
        <v>58</v>
      </c>
      <c r="D366">
        <v>73858</v>
      </c>
      <c r="E366" s="1">
        <v>1814411</v>
      </c>
      <c r="F366">
        <v>0.107</v>
      </c>
      <c r="G366">
        <v>15</v>
      </c>
      <c r="H366">
        <v>634</v>
      </c>
      <c r="I366">
        <v>12</v>
      </c>
      <c r="J366" s="1">
        <v>31941</v>
      </c>
      <c r="K366" s="24" t="s">
        <v>1773</v>
      </c>
      <c r="L366" s="7">
        <f>EV[[#This Row],[Current_Debt]]/EV[[#This Row],[Monthly_Income]]</f>
        <v>0.43246500040618485</v>
      </c>
      <c r="M366" t="s">
        <v>2291</v>
      </c>
    </row>
    <row r="367" spans="1:13" x14ac:dyDescent="0.3">
      <c r="A367">
        <v>366</v>
      </c>
      <c r="B367" t="s">
        <v>1636</v>
      </c>
      <c r="C367">
        <v>39</v>
      </c>
      <c r="D367">
        <v>118984</v>
      </c>
      <c r="E367" s="1">
        <v>2406341</v>
      </c>
      <c r="F367">
        <v>0.106</v>
      </c>
      <c r="G367">
        <v>20</v>
      </c>
      <c r="H367">
        <v>700</v>
      </c>
      <c r="I367">
        <v>12</v>
      </c>
      <c r="J367" s="1">
        <v>38704</v>
      </c>
      <c r="K367" s="24" t="s">
        <v>1772</v>
      </c>
      <c r="L367" s="7">
        <f>EV[[#This Row],[Current_Debt]]/EV[[#This Row],[Monthly_Income]]</f>
        <v>0.32528743360451823</v>
      </c>
      <c r="M367" t="s">
        <v>1786</v>
      </c>
    </row>
    <row r="368" spans="1:13" x14ac:dyDescent="0.3">
      <c r="A368">
        <v>367</v>
      </c>
      <c r="B368" t="s">
        <v>1637</v>
      </c>
      <c r="C368">
        <v>57</v>
      </c>
      <c r="D368">
        <v>78963</v>
      </c>
      <c r="E368" s="1">
        <v>1158843</v>
      </c>
      <c r="F368">
        <v>0.1</v>
      </c>
      <c r="G368">
        <v>30</v>
      </c>
      <c r="H368">
        <v>832</v>
      </c>
      <c r="I368">
        <v>8</v>
      </c>
      <c r="J368" s="1">
        <v>43684</v>
      </c>
      <c r="K368" s="24" t="s">
        <v>1772</v>
      </c>
      <c r="L368" s="7">
        <f>EV[[#This Row],[Current_Debt]]/EV[[#This Row],[Monthly_Income]]</f>
        <v>0.55322112888314778</v>
      </c>
      <c r="M368" t="s">
        <v>1786</v>
      </c>
    </row>
    <row r="369" spans="1:13" x14ac:dyDescent="0.3">
      <c r="A369">
        <v>368</v>
      </c>
      <c r="B369" t="s">
        <v>1638</v>
      </c>
      <c r="C369">
        <v>61</v>
      </c>
      <c r="D369">
        <v>73937</v>
      </c>
      <c r="E369" s="1">
        <v>1750519</v>
      </c>
      <c r="F369">
        <v>9.2999999999999999E-2</v>
      </c>
      <c r="G369">
        <v>15</v>
      </c>
      <c r="H369">
        <v>612</v>
      </c>
      <c r="I369">
        <v>4</v>
      </c>
      <c r="J369" s="1">
        <v>13989</v>
      </c>
      <c r="K369" s="24" t="s">
        <v>1773</v>
      </c>
      <c r="L369" s="7">
        <f>EV[[#This Row],[Current_Debt]]/EV[[#This Row],[Monthly_Income]]</f>
        <v>0.18920161759335652</v>
      </c>
      <c r="M369" t="s">
        <v>2291</v>
      </c>
    </row>
    <row r="370" spans="1:13" x14ac:dyDescent="0.3">
      <c r="A370">
        <v>369</v>
      </c>
      <c r="B370" t="s">
        <v>1639</v>
      </c>
      <c r="C370">
        <v>35</v>
      </c>
      <c r="D370">
        <v>104807</v>
      </c>
      <c r="E370" s="1">
        <v>590543</v>
      </c>
      <c r="F370">
        <v>9.1999999999999998E-2</v>
      </c>
      <c r="G370">
        <v>25</v>
      </c>
      <c r="H370">
        <v>796</v>
      </c>
      <c r="I370">
        <v>13</v>
      </c>
      <c r="J370" s="1">
        <v>19406</v>
      </c>
      <c r="K370" s="24" t="s">
        <v>1772</v>
      </c>
      <c r="L370" s="7">
        <f>EV[[#This Row],[Current_Debt]]/EV[[#This Row],[Monthly_Income]]</f>
        <v>0.18515938820880284</v>
      </c>
      <c r="M370" t="s">
        <v>1786</v>
      </c>
    </row>
    <row r="371" spans="1:13" x14ac:dyDescent="0.3">
      <c r="A371">
        <v>370</v>
      </c>
      <c r="B371" t="s">
        <v>1640</v>
      </c>
      <c r="C371">
        <v>22</v>
      </c>
      <c r="D371">
        <v>36853</v>
      </c>
      <c r="E371" s="1">
        <v>1500242</v>
      </c>
      <c r="F371">
        <v>9.0999999999999998E-2</v>
      </c>
      <c r="G371">
        <v>15</v>
      </c>
      <c r="H371">
        <v>603</v>
      </c>
      <c r="I371">
        <v>6</v>
      </c>
      <c r="J371" s="1">
        <v>11021</v>
      </c>
      <c r="K371" s="25" t="s">
        <v>1773</v>
      </c>
      <c r="L371" s="7">
        <f>EV[[#This Row],[Current_Debt]]/EV[[#This Row],[Monthly_Income]]</f>
        <v>0.29905299432881993</v>
      </c>
      <c r="M371" t="s">
        <v>1784</v>
      </c>
    </row>
    <row r="372" spans="1:13" x14ac:dyDescent="0.3">
      <c r="A372">
        <v>371</v>
      </c>
      <c r="B372" t="s">
        <v>1641</v>
      </c>
      <c r="C372">
        <v>36</v>
      </c>
      <c r="D372">
        <v>34280</v>
      </c>
      <c r="E372" s="1">
        <v>563477</v>
      </c>
      <c r="F372">
        <v>9.7000000000000003E-2</v>
      </c>
      <c r="G372">
        <v>15</v>
      </c>
      <c r="H372">
        <v>787</v>
      </c>
      <c r="I372">
        <v>2</v>
      </c>
      <c r="J372" s="1">
        <v>42949</v>
      </c>
      <c r="K372" s="24" t="s">
        <v>1772</v>
      </c>
      <c r="L372" s="7">
        <f>EV[[#This Row],[Current_Debt]]/EV[[#This Row],[Monthly_Income]]</f>
        <v>1.2528879813302216</v>
      </c>
      <c r="M372" t="s">
        <v>1786</v>
      </c>
    </row>
    <row r="373" spans="1:13" x14ac:dyDescent="0.3">
      <c r="A373">
        <v>372</v>
      </c>
      <c r="B373" t="s">
        <v>1642</v>
      </c>
      <c r="C373">
        <v>46</v>
      </c>
      <c r="D373">
        <v>61205</v>
      </c>
      <c r="E373" s="1">
        <v>1169857</v>
      </c>
      <c r="F373">
        <v>9.1999999999999998E-2</v>
      </c>
      <c r="G373">
        <v>20</v>
      </c>
      <c r="H373">
        <v>785</v>
      </c>
      <c r="I373">
        <v>9</v>
      </c>
      <c r="J373" s="1">
        <v>24443</v>
      </c>
      <c r="K373" s="24" t="s">
        <v>1772</v>
      </c>
      <c r="L373" s="7">
        <f>EV[[#This Row],[Current_Debt]]/EV[[#This Row],[Monthly_Income]]</f>
        <v>0.399362797157095</v>
      </c>
      <c r="M373" t="s">
        <v>1786</v>
      </c>
    </row>
    <row r="374" spans="1:13" x14ac:dyDescent="0.3">
      <c r="A374">
        <v>373</v>
      </c>
      <c r="B374" t="s">
        <v>1643</v>
      </c>
      <c r="C374">
        <v>29</v>
      </c>
      <c r="D374">
        <v>72057</v>
      </c>
      <c r="E374" s="1">
        <v>824129</v>
      </c>
      <c r="F374">
        <v>8.5999999999999993E-2</v>
      </c>
      <c r="G374">
        <v>25</v>
      </c>
      <c r="H374">
        <v>781</v>
      </c>
      <c r="I374">
        <v>2</v>
      </c>
      <c r="J374" s="1">
        <v>29737</v>
      </c>
      <c r="K374" s="24" t="s">
        <v>1772</v>
      </c>
      <c r="L374" s="7">
        <f>EV[[#This Row],[Current_Debt]]/EV[[#This Row],[Monthly_Income]]</f>
        <v>0.41268717820614237</v>
      </c>
      <c r="M374" t="s">
        <v>1786</v>
      </c>
    </row>
    <row r="375" spans="1:13" x14ac:dyDescent="0.3">
      <c r="A375">
        <v>374</v>
      </c>
      <c r="B375" t="s">
        <v>1644</v>
      </c>
      <c r="C375">
        <v>63</v>
      </c>
      <c r="D375">
        <v>96290</v>
      </c>
      <c r="E375" s="1">
        <v>1515601</v>
      </c>
      <c r="F375">
        <v>8.1000000000000003E-2</v>
      </c>
      <c r="G375">
        <v>15</v>
      </c>
      <c r="H375">
        <v>828</v>
      </c>
      <c r="I375">
        <v>15</v>
      </c>
      <c r="J375" s="1">
        <v>1059</v>
      </c>
      <c r="K375" s="26" t="s">
        <v>1774</v>
      </c>
      <c r="L375" s="7">
        <f>EV[[#This Row],[Current_Debt]]/EV[[#This Row],[Monthly_Income]]</f>
        <v>1.0998026794059611E-2</v>
      </c>
      <c r="M375" t="s">
        <v>1785</v>
      </c>
    </row>
    <row r="376" spans="1:13" x14ac:dyDescent="0.3">
      <c r="A376">
        <v>375</v>
      </c>
      <c r="B376" t="s">
        <v>1645</v>
      </c>
      <c r="C376">
        <v>24</v>
      </c>
      <c r="D376">
        <v>43101</v>
      </c>
      <c r="E376" s="1">
        <v>1451588</v>
      </c>
      <c r="F376">
        <v>0.1</v>
      </c>
      <c r="G376">
        <v>10</v>
      </c>
      <c r="H376">
        <v>736</v>
      </c>
      <c r="I376">
        <v>12</v>
      </c>
      <c r="J376" s="1">
        <v>26232</v>
      </c>
      <c r="K376" s="25" t="s">
        <v>1773</v>
      </c>
      <c r="L376" s="7">
        <f>EV[[#This Row],[Current_Debt]]/EV[[#This Row],[Monthly_Income]]</f>
        <v>0.60861696944386445</v>
      </c>
      <c r="M376" t="s">
        <v>1784</v>
      </c>
    </row>
    <row r="377" spans="1:13" x14ac:dyDescent="0.3">
      <c r="A377">
        <v>376</v>
      </c>
      <c r="B377" t="s">
        <v>1646</v>
      </c>
      <c r="C377">
        <v>61</v>
      </c>
      <c r="D377">
        <v>115378</v>
      </c>
      <c r="E377" s="1">
        <v>2336753</v>
      </c>
      <c r="F377">
        <v>8.6999999999999994E-2</v>
      </c>
      <c r="G377">
        <v>25</v>
      </c>
      <c r="H377">
        <v>694</v>
      </c>
      <c r="I377">
        <v>6</v>
      </c>
      <c r="J377" s="1">
        <v>35777</v>
      </c>
      <c r="K377" s="24" t="s">
        <v>1772</v>
      </c>
      <c r="L377" s="7">
        <f>EV[[#This Row],[Current_Debt]]/EV[[#This Row],[Monthly_Income]]</f>
        <v>0.31008511154639534</v>
      </c>
      <c r="M377" t="s">
        <v>1786</v>
      </c>
    </row>
    <row r="378" spans="1:13" x14ac:dyDescent="0.3">
      <c r="A378">
        <v>377</v>
      </c>
      <c r="B378" t="s">
        <v>1647</v>
      </c>
      <c r="C378">
        <v>20</v>
      </c>
      <c r="D378">
        <v>74992</v>
      </c>
      <c r="E378" s="1">
        <v>1000426</v>
      </c>
      <c r="F378">
        <v>0.106</v>
      </c>
      <c r="G378">
        <v>30</v>
      </c>
      <c r="H378">
        <v>613</v>
      </c>
      <c r="I378">
        <v>5</v>
      </c>
      <c r="J378" s="1">
        <v>29838</v>
      </c>
      <c r="K378" s="25" t="s">
        <v>1773</v>
      </c>
      <c r="L378" s="7">
        <f>EV[[#This Row],[Current_Debt]]/EV[[#This Row],[Monthly_Income]]</f>
        <v>0.39788244079368468</v>
      </c>
      <c r="M378" t="s">
        <v>1784</v>
      </c>
    </row>
    <row r="379" spans="1:13" x14ac:dyDescent="0.3">
      <c r="A379">
        <v>378</v>
      </c>
      <c r="B379" t="s">
        <v>1648</v>
      </c>
      <c r="C379">
        <v>50</v>
      </c>
      <c r="D379">
        <v>102645</v>
      </c>
      <c r="E379" s="1">
        <v>2397193</v>
      </c>
      <c r="F379">
        <v>9.4E-2</v>
      </c>
      <c r="G379">
        <v>25</v>
      </c>
      <c r="H379">
        <v>817</v>
      </c>
      <c r="I379">
        <v>7</v>
      </c>
      <c r="J379" s="1">
        <v>35942</v>
      </c>
      <c r="K379" s="24" t="s">
        <v>1772</v>
      </c>
      <c r="L379" s="7">
        <f>EV[[#This Row],[Current_Debt]]/EV[[#This Row],[Monthly_Income]]</f>
        <v>0.35015831263091235</v>
      </c>
      <c r="M379" t="s">
        <v>1786</v>
      </c>
    </row>
    <row r="380" spans="1:13" x14ac:dyDescent="0.3">
      <c r="A380">
        <v>379</v>
      </c>
      <c r="B380" t="s">
        <v>1649</v>
      </c>
      <c r="C380">
        <v>22</v>
      </c>
      <c r="D380">
        <v>43304</v>
      </c>
      <c r="E380" s="1">
        <v>1674030</v>
      </c>
      <c r="F380">
        <v>9.1999999999999998E-2</v>
      </c>
      <c r="G380">
        <v>30</v>
      </c>
      <c r="H380">
        <v>693</v>
      </c>
      <c r="I380">
        <v>10</v>
      </c>
      <c r="J380" s="1">
        <v>40689</v>
      </c>
      <c r="K380" s="25" t="s">
        <v>1773</v>
      </c>
      <c r="L380" s="7">
        <f>EV[[#This Row],[Current_Debt]]/EV[[#This Row],[Monthly_Income]]</f>
        <v>0.93961296877886569</v>
      </c>
      <c r="M380" t="s">
        <v>1784</v>
      </c>
    </row>
    <row r="381" spans="1:13" x14ac:dyDescent="0.3">
      <c r="A381">
        <v>380</v>
      </c>
      <c r="B381" t="s">
        <v>1650</v>
      </c>
      <c r="C381">
        <v>35</v>
      </c>
      <c r="D381">
        <v>56121</v>
      </c>
      <c r="E381" s="1">
        <v>2390364</v>
      </c>
      <c r="F381">
        <v>8.5000000000000006E-2</v>
      </c>
      <c r="G381">
        <v>20</v>
      </c>
      <c r="H381">
        <v>832</v>
      </c>
      <c r="I381">
        <v>5</v>
      </c>
      <c r="J381" s="1">
        <v>4401</v>
      </c>
      <c r="K381" s="26" t="s">
        <v>1774</v>
      </c>
      <c r="L381" s="7">
        <f>EV[[#This Row],[Current_Debt]]/EV[[#This Row],[Monthly_Income]]</f>
        <v>7.8419842839578771E-2</v>
      </c>
      <c r="M381" t="s">
        <v>1785</v>
      </c>
    </row>
    <row r="382" spans="1:13" x14ac:dyDescent="0.3">
      <c r="A382">
        <v>381</v>
      </c>
      <c r="B382" t="s">
        <v>1651</v>
      </c>
      <c r="C382">
        <v>57</v>
      </c>
      <c r="D382">
        <v>76001</v>
      </c>
      <c r="E382" s="1">
        <v>1714721</v>
      </c>
      <c r="F382">
        <v>0.1</v>
      </c>
      <c r="G382">
        <v>30</v>
      </c>
      <c r="H382">
        <v>822</v>
      </c>
      <c r="I382">
        <v>15</v>
      </c>
      <c r="J382" s="1">
        <v>37490</v>
      </c>
      <c r="K382" s="24" t="s">
        <v>1772</v>
      </c>
      <c r="L382" s="7">
        <f>EV[[#This Row],[Current_Debt]]/EV[[#This Row],[Monthly_Income]]</f>
        <v>0.49328298311864316</v>
      </c>
      <c r="M382" t="s">
        <v>1786</v>
      </c>
    </row>
    <row r="383" spans="1:13" x14ac:dyDescent="0.3">
      <c r="A383">
        <v>382</v>
      </c>
      <c r="B383" t="s">
        <v>1652</v>
      </c>
      <c r="C383">
        <v>25</v>
      </c>
      <c r="D383">
        <v>83012</v>
      </c>
      <c r="E383" s="1">
        <v>1234691</v>
      </c>
      <c r="F383">
        <v>8.5000000000000006E-2</v>
      </c>
      <c r="G383">
        <v>30</v>
      </c>
      <c r="H383">
        <v>703</v>
      </c>
      <c r="I383">
        <v>6</v>
      </c>
      <c r="J383" s="1">
        <v>15661</v>
      </c>
      <c r="K383" s="24" t="s">
        <v>1772</v>
      </c>
      <c r="L383" s="7">
        <f>EV[[#This Row],[Current_Debt]]/EV[[#This Row],[Monthly_Income]]</f>
        <v>0.18865947091986701</v>
      </c>
      <c r="M383" t="s">
        <v>1786</v>
      </c>
    </row>
    <row r="384" spans="1:13" x14ac:dyDescent="0.3">
      <c r="A384">
        <v>383</v>
      </c>
      <c r="B384" t="s">
        <v>1653</v>
      </c>
      <c r="C384">
        <v>39</v>
      </c>
      <c r="D384">
        <v>69681</v>
      </c>
      <c r="E384" s="1">
        <v>1727244</v>
      </c>
      <c r="F384">
        <v>8.5000000000000006E-2</v>
      </c>
      <c r="G384">
        <v>10</v>
      </c>
      <c r="H384">
        <v>675</v>
      </c>
      <c r="I384">
        <v>12</v>
      </c>
      <c r="J384" s="1">
        <v>32585</v>
      </c>
      <c r="K384" s="24" t="s">
        <v>1772</v>
      </c>
      <c r="L384" s="7">
        <f>EV[[#This Row],[Current_Debt]]/EV[[#This Row],[Monthly_Income]]</f>
        <v>0.46763106155192952</v>
      </c>
      <c r="M384" t="s">
        <v>2292</v>
      </c>
    </row>
    <row r="385" spans="1:13" x14ac:dyDescent="0.3">
      <c r="A385">
        <v>384</v>
      </c>
      <c r="B385" t="s">
        <v>1654</v>
      </c>
      <c r="C385">
        <v>62</v>
      </c>
      <c r="D385">
        <v>77865</v>
      </c>
      <c r="E385" s="1">
        <v>572623</v>
      </c>
      <c r="F385">
        <v>0.08</v>
      </c>
      <c r="G385">
        <v>20</v>
      </c>
      <c r="H385">
        <v>845</v>
      </c>
      <c r="I385">
        <v>0</v>
      </c>
      <c r="J385" s="1">
        <v>46975</v>
      </c>
      <c r="K385" s="24" t="s">
        <v>1772</v>
      </c>
      <c r="L385" s="7">
        <f>EV[[#This Row],[Current_Debt]]/EV[[#This Row],[Monthly_Income]]</f>
        <v>0.60328774160405829</v>
      </c>
      <c r="M385" t="s">
        <v>1786</v>
      </c>
    </row>
    <row r="386" spans="1:13" x14ac:dyDescent="0.3">
      <c r="A386">
        <v>385</v>
      </c>
      <c r="B386" t="s">
        <v>1655</v>
      </c>
      <c r="C386">
        <v>35</v>
      </c>
      <c r="D386">
        <v>17068</v>
      </c>
      <c r="E386" s="1">
        <v>1988776</v>
      </c>
      <c r="F386">
        <v>0.109</v>
      </c>
      <c r="G386">
        <v>10</v>
      </c>
      <c r="H386">
        <v>675</v>
      </c>
      <c r="I386">
        <v>1</v>
      </c>
      <c r="J386" s="1">
        <v>20041</v>
      </c>
      <c r="K386" s="24" t="s">
        <v>1772</v>
      </c>
      <c r="L386" s="7">
        <f>EV[[#This Row],[Current_Debt]]/EV[[#This Row],[Monthly_Income]]</f>
        <v>1.1741856104991797</v>
      </c>
      <c r="M386" t="s">
        <v>2292</v>
      </c>
    </row>
    <row r="387" spans="1:13" x14ac:dyDescent="0.3">
      <c r="A387">
        <v>386</v>
      </c>
      <c r="B387" t="s">
        <v>1656</v>
      </c>
      <c r="C387">
        <v>42</v>
      </c>
      <c r="D387">
        <v>19345</v>
      </c>
      <c r="E387" s="1">
        <v>1142236</v>
      </c>
      <c r="F387">
        <v>9.7000000000000003E-2</v>
      </c>
      <c r="G387">
        <v>10</v>
      </c>
      <c r="H387">
        <v>616</v>
      </c>
      <c r="I387">
        <v>5</v>
      </c>
      <c r="J387" s="1">
        <v>8233</v>
      </c>
      <c r="K387" s="24" t="s">
        <v>1773</v>
      </c>
      <c r="L387" s="7">
        <f>EV[[#This Row],[Current_Debt]]/EV[[#This Row],[Monthly_Income]]</f>
        <v>0.42558800723701212</v>
      </c>
      <c r="M387" t="s">
        <v>2291</v>
      </c>
    </row>
    <row r="388" spans="1:13" x14ac:dyDescent="0.3">
      <c r="A388">
        <v>387</v>
      </c>
      <c r="B388" t="s">
        <v>1657</v>
      </c>
      <c r="C388">
        <v>59</v>
      </c>
      <c r="D388">
        <v>29599</v>
      </c>
      <c r="E388" s="1">
        <v>1625423</v>
      </c>
      <c r="F388">
        <v>0.104</v>
      </c>
      <c r="G388">
        <v>15</v>
      </c>
      <c r="H388">
        <v>692</v>
      </c>
      <c r="I388">
        <v>0</v>
      </c>
      <c r="J388" s="1">
        <v>46206</v>
      </c>
      <c r="K388" s="24" t="s">
        <v>1772</v>
      </c>
      <c r="L388" s="7">
        <f>EV[[#This Row],[Current_Debt]]/EV[[#This Row],[Monthly_Income]]</f>
        <v>1.5610662522382512</v>
      </c>
      <c r="M388" t="s">
        <v>1786</v>
      </c>
    </row>
    <row r="389" spans="1:13" x14ac:dyDescent="0.3">
      <c r="A389">
        <v>388</v>
      </c>
      <c r="B389" t="s">
        <v>1658</v>
      </c>
      <c r="C389">
        <v>60</v>
      </c>
      <c r="D389">
        <v>35118</v>
      </c>
      <c r="E389" s="1">
        <v>2136373</v>
      </c>
      <c r="F389">
        <v>9.7000000000000003E-2</v>
      </c>
      <c r="G389">
        <v>10</v>
      </c>
      <c r="H389">
        <v>657</v>
      </c>
      <c r="I389">
        <v>6</v>
      </c>
      <c r="J389" s="1">
        <v>37784</v>
      </c>
      <c r="K389" s="24" t="s">
        <v>1772</v>
      </c>
      <c r="L389" s="7">
        <f>EV[[#This Row],[Current_Debt]]/EV[[#This Row],[Monthly_Income]]</f>
        <v>1.0759154849364998</v>
      </c>
      <c r="M389" t="s">
        <v>2292</v>
      </c>
    </row>
    <row r="390" spans="1:13" x14ac:dyDescent="0.3">
      <c r="A390">
        <v>389</v>
      </c>
      <c r="B390" t="s">
        <v>1659</v>
      </c>
      <c r="C390">
        <v>49</v>
      </c>
      <c r="D390">
        <v>91423</v>
      </c>
      <c r="E390" s="1">
        <v>1953049</v>
      </c>
      <c r="F390">
        <v>0.12</v>
      </c>
      <c r="G390">
        <v>15</v>
      </c>
      <c r="H390">
        <v>704</v>
      </c>
      <c r="I390">
        <v>11</v>
      </c>
      <c r="J390" s="1">
        <v>15522</v>
      </c>
      <c r="K390" s="24" t="s">
        <v>1772</v>
      </c>
      <c r="L390" s="7">
        <f>EV[[#This Row],[Current_Debt]]/EV[[#This Row],[Monthly_Income]]</f>
        <v>0.16978222110409852</v>
      </c>
      <c r="M390" t="s">
        <v>1786</v>
      </c>
    </row>
    <row r="391" spans="1:13" x14ac:dyDescent="0.3">
      <c r="A391">
        <v>390</v>
      </c>
      <c r="B391" t="s">
        <v>1660</v>
      </c>
      <c r="C391">
        <v>65</v>
      </c>
      <c r="D391">
        <v>53033</v>
      </c>
      <c r="E391" s="1">
        <v>1831330</v>
      </c>
      <c r="F391">
        <v>0.11799999999999999</v>
      </c>
      <c r="G391">
        <v>25</v>
      </c>
      <c r="H391">
        <v>829</v>
      </c>
      <c r="I391">
        <v>14</v>
      </c>
      <c r="J391" s="1">
        <v>27057</v>
      </c>
      <c r="K391" s="24" t="s">
        <v>1772</v>
      </c>
      <c r="L391" s="7">
        <f>EV[[#This Row],[Current_Debt]]/EV[[#This Row],[Monthly_Income]]</f>
        <v>0.51019176739011562</v>
      </c>
      <c r="M391" t="s">
        <v>1786</v>
      </c>
    </row>
    <row r="392" spans="1:13" x14ac:dyDescent="0.3">
      <c r="A392">
        <v>391</v>
      </c>
      <c r="B392" t="s">
        <v>1661</v>
      </c>
      <c r="C392">
        <v>39</v>
      </c>
      <c r="D392">
        <v>45335</v>
      </c>
      <c r="E392" s="1">
        <v>1830209</v>
      </c>
      <c r="F392">
        <v>8.6999999999999994E-2</v>
      </c>
      <c r="G392">
        <v>20</v>
      </c>
      <c r="H392">
        <v>771</v>
      </c>
      <c r="I392">
        <v>4</v>
      </c>
      <c r="J392" s="1">
        <v>15613</v>
      </c>
      <c r="K392" s="24" t="s">
        <v>1772</v>
      </c>
      <c r="L392" s="7">
        <f>EV[[#This Row],[Current_Debt]]/EV[[#This Row],[Monthly_Income]]</f>
        <v>0.34439175030329766</v>
      </c>
      <c r="M392" t="s">
        <v>1786</v>
      </c>
    </row>
    <row r="393" spans="1:13" x14ac:dyDescent="0.3">
      <c r="A393">
        <v>392</v>
      </c>
      <c r="B393" t="s">
        <v>1662</v>
      </c>
      <c r="C393">
        <v>36</v>
      </c>
      <c r="D393">
        <v>81556</v>
      </c>
      <c r="E393" s="1">
        <v>2187487</v>
      </c>
      <c r="F393">
        <v>8.5000000000000006E-2</v>
      </c>
      <c r="G393">
        <v>15</v>
      </c>
      <c r="H393">
        <v>657</v>
      </c>
      <c r="I393">
        <v>13</v>
      </c>
      <c r="J393" s="1">
        <v>42353</v>
      </c>
      <c r="K393" s="24" t="s">
        <v>1772</v>
      </c>
      <c r="L393" s="7">
        <f>EV[[#This Row],[Current_Debt]]/EV[[#This Row],[Monthly_Income]]</f>
        <v>0.51931188385894356</v>
      </c>
      <c r="M393" t="s">
        <v>2292</v>
      </c>
    </row>
    <row r="394" spans="1:13" x14ac:dyDescent="0.3">
      <c r="A394">
        <v>393</v>
      </c>
      <c r="B394" t="s">
        <v>1663</v>
      </c>
      <c r="C394">
        <v>34</v>
      </c>
      <c r="D394">
        <v>92113</v>
      </c>
      <c r="E394" s="1">
        <v>2001856</v>
      </c>
      <c r="F394">
        <v>0.11</v>
      </c>
      <c r="G394">
        <v>15</v>
      </c>
      <c r="H394">
        <v>694</v>
      </c>
      <c r="I394">
        <v>3</v>
      </c>
      <c r="J394" s="1">
        <v>37896</v>
      </c>
      <c r="K394" s="24" t="s">
        <v>1772</v>
      </c>
      <c r="L394" s="7">
        <f>EV[[#This Row],[Current_Debt]]/EV[[#This Row],[Monthly_Income]]</f>
        <v>0.41140772746517862</v>
      </c>
      <c r="M394" t="s">
        <v>1786</v>
      </c>
    </row>
    <row r="395" spans="1:13" x14ac:dyDescent="0.3">
      <c r="A395">
        <v>394</v>
      </c>
      <c r="B395" t="s">
        <v>1664</v>
      </c>
      <c r="C395">
        <v>33</v>
      </c>
      <c r="D395">
        <v>73358</v>
      </c>
      <c r="E395" s="1">
        <v>621415</v>
      </c>
      <c r="F395">
        <v>9.1999999999999998E-2</v>
      </c>
      <c r="G395">
        <v>10</v>
      </c>
      <c r="H395">
        <v>831</v>
      </c>
      <c r="I395">
        <v>12</v>
      </c>
      <c r="J395" s="1">
        <v>44254</v>
      </c>
      <c r="K395" s="24" t="s">
        <v>1772</v>
      </c>
      <c r="L395" s="7">
        <f>EV[[#This Row],[Current_Debt]]/EV[[#This Row],[Monthly_Income]]</f>
        <v>0.60326072139371301</v>
      </c>
      <c r="M395" t="s">
        <v>1786</v>
      </c>
    </row>
    <row r="396" spans="1:13" x14ac:dyDescent="0.3">
      <c r="A396">
        <v>395</v>
      </c>
      <c r="B396" t="s">
        <v>1665</v>
      </c>
      <c r="C396">
        <v>60</v>
      </c>
      <c r="D396">
        <v>78110</v>
      </c>
      <c r="E396" s="1">
        <v>879420</v>
      </c>
      <c r="F396">
        <v>0.09</v>
      </c>
      <c r="G396">
        <v>15</v>
      </c>
      <c r="H396">
        <v>770</v>
      </c>
      <c r="I396">
        <v>14</v>
      </c>
      <c r="J396" s="1">
        <v>32474</v>
      </c>
      <c r="K396" s="24" t="s">
        <v>1772</v>
      </c>
      <c r="L396" s="7">
        <f>EV[[#This Row],[Current_Debt]]/EV[[#This Row],[Monthly_Income]]</f>
        <v>0.41574702342849829</v>
      </c>
      <c r="M396" t="s">
        <v>1786</v>
      </c>
    </row>
    <row r="397" spans="1:13" x14ac:dyDescent="0.3">
      <c r="A397">
        <v>396</v>
      </c>
      <c r="B397" t="s">
        <v>1666</v>
      </c>
      <c r="C397">
        <v>50</v>
      </c>
      <c r="D397">
        <v>50615</v>
      </c>
      <c r="E397" s="1">
        <v>1049384</v>
      </c>
      <c r="F397">
        <v>9.0999999999999998E-2</v>
      </c>
      <c r="G397">
        <v>15</v>
      </c>
      <c r="H397">
        <v>634</v>
      </c>
      <c r="I397">
        <v>4</v>
      </c>
      <c r="J397" s="1">
        <v>33164</v>
      </c>
      <c r="K397" s="24" t="s">
        <v>1773</v>
      </c>
      <c r="L397" s="7">
        <f>EV[[#This Row],[Current_Debt]]/EV[[#This Row],[Monthly_Income]]</f>
        <v>0.65522078435246467</v>
      </c>
      <c r="M397" t="s">
        <v>2291</v>
      </c>
    </row>
    <row r="398" spans="1:13" x14ac:dyDescent="0.3">
      <c r="A398">
        <v>397</v>
      </c>
      <c r="B398" t="s">
        <v>1667</v>
      </c>
      <c r="C398">
        <v>35</v>
      </c>
      <c r="D398">
        <v>47091</v>
      </c>
      <c r="E398" s="1">
        <v>1882799</v>
      </c>
      <c r="F398">
        <v>0.10299999999999999</v>
      </c>
      <c r="G398">
        <v>25</v>
      </c>
      <c r="H398">
        <v>715</v>
      </c>
      <c r="I398">
        <v>13</v>
      </c>
      <c r="J398" s="1">
        <v>4240</v>
      </c>
      <c r="K398" s="26" t="s">
        <v>1774</v>
      </c>
      <c r="L398" s="7">
        <f>EV[[#This Row],[Current_Debt]]/EV[[#This Row],[Monthly_Income]]</f>
        <v>9.0038436219235102E-2</v>
      </c>
      <c r="M398" t="s">
        <v>1785</v>
      </c>
    </row>
    <row r="399" spans="1:13" x14ac:dyDescent="0.3">
      <c r="A399">
        <v>398</v>
      </c>
      <c r="B399" t="s">
        <v>1668</v>
      </c>
      <c r="C399">
        <v>45</v>
      </c>
      <c r="D399">
        <v>49539</v>
      </c>
      <c r="E399" s="1">
        <v>1183744</v>
      </c>
      <c r="F399">
        <v>0.1</v>
      </c>
      <c r="G399">
        <v>10</v>
      </c>
      <c r="H399">
        <v>683</v>
      </c>
      <c r="I399">
        <v>14</v>
      </c>
      <c r="J399" s="1">
        <v>23506</v>
      </c>
      <c r="K399" s="24" t="s">
        <v>1772</v>
      </c>
      <c r="L399" s="7">
        <f>EV[[#This Row],[Current_Debt]]/EV[[#This Row],[Monthly_Income]]</f>
        <v>0.47449484244736473</v>
      </c>
      <c r="M399" t="s">
        <v>1786</v>
      </c>
    </row>
    <row r="400" spans="1:13" x14ac:dyDescent="0.3">
      <c r="A400">
        <v>399</v>
      </c>
      <c r="B400" t="s">
        <v>1669</v>
      </c>
      <c r="C400">
        <v>23</v>
      </c>
      <c r="D400">
        <v>48396</v>
      </c>
      <c r="E400" s="1">
        <v>2467902</v>
      </c>
      <c r="F400">
        <v>0.111</v>
      </c>
      <c r="G400">
        <v>25</v>
      </c>
      <c r="H400">
        <v>802</v>
      </c>
      <c r="I400">
        <v>15</v>
      </c>
      <c r="J400" s="1">
        <v>7682</v>
      </c>
      <c r="K400" s="25" t="s">
        <v>1773</v>
      </c>
      <c r="L400" s="7">
        <f>EV[[#This Row],[Current_Debt]]/EV[[#This Row],[Monthly_Income]]</f>
        <v>0.15873212662203487</v>
      </c>
      <c r="M400" t="s">
        <v>1784</v>
      </c>
    </row>
    <row r="401" spans="1:13" x14ac:dyDescent="0.3">
      <c r="A401">
        <v>400</v>
      </c>
      <c r="B401" t="s">
        <v>1670</v>
      </c>
      <c r="C401">
        <v>52</v>
      </c>
      <c r="D401">
        <v>63175</v>
      </c>
      <c r="E401" s="1">
        <v>718952</v>
      </c>
      <c r="F401">
        <v>0.107</v>
      </c>
      <c r="G401">
        <v>10</v>
      </c>
      <c r="H401">
        <v>685</v>
      </c>
      <c r="I401">
        <v>6</v>
      </c>
      <c r="J401" s="1">
        <v>1662</v>
      </c>
      <c r="K401" s="24" t="s">
        <v>1774</v>
      </c>
      <c r="L401" s="7">
        <f>EV[[#This Row],[Current_Debt]]/EV[[#This Row],[Monthly_Income]]</f>
        <v>2.630787495053423E-2</v>
      </c>
      <c r="M401" t="s">
        <v>2290</v>
      </c>
    </row>
    <row r="402" spans="1:13" x14ac:dyDescent="0.3">
      <c r="A402">
        <v>401</v>
      </c>
      <c r="B402" t="s">
        <v>1671</v>
      </c>
      <c r="C402">
        <v>20</v>
      </c>
      <c r="D402">
        <v>17276</v>
      </c>
      <c r="E402" s="1">
        <v>2196795</v>
      </c>
      <c r="F402">
        <v>9.9000000000000005E-2</v>
      </c>
      <c r="G402">
        <v>10</v>
      </c>
      <c r="H402">
        <v>844</v>
      </c>
      <c r="I402">
        <v>10</v>
      </c>
      <c r="J402" s="1">
        <v>30971</v>
      </c>
      <c r="K402" s="25" t="s">
        <v>1773</v>
      </c>
      <c r="L402" s="7">
        <f>EV[[#This Row],[Current_Debt]]/EV[[#This Row],[Monthly_Income]]</f>
        <v>1.7927182218106044</v>
      </c>
      <c r="M402" t="s">
        <v>1784</v>
      </c>
    </row>
    <row r="403" spans="1:13" x14ac:dyDescent="0.3">
      <c r="A403">
        <v>402</v>
      </c>
      <c r="B403" t="s">
        <v>1672</v>
      </c>
      <c r="C403">
        <v>23</v>
      </c>
      <c r="D403">
        <v>60718</v>
      </c>
      <c r="E403" s="1">
        <v>1108713</v>
      </c>
      <c r="F403">
        <v>9.9000000000000005E-2</v>
      </c>
      <c r="G403">
        <v>25</v>
      </c>
      <c r="H403">
        <v>628</v>
      </c>
      <c r="I403">
        <v>15</v>
      </c>
      <c r="J403" s="1">
        <v>23444</v>
      </c>
      <c r="K403" s="25" t="s">
        <v>1773</v>
      </c>
      <c r="L403" s="7">
        <f>EV[[#This Row],[Current_Debt]]/EV[[#This Row],[Monthly_Income]]</f>
        <v>0.38611284956685005</v>
      </c>
      <c r="M403" t="s">
        <v>1784</v>
      </c>
    </row>
    <row r="404" spans="1:13" x14ac:dyDescent="0.3">
      <c r="A404">
        <v>403</v>
      </c>
      <c r="B404" t="s">
        <v>1673</v>
      </c>
      <c r="C404">
        <v>59</v>
      </c>
      <c r="D404">
        <v>22217</v>
      </c>
      <c r="E404" s="1">
        <v>1174340</v>
      </c>
      <c r="F404">
        <v>9.5000000000000001E-2</v>
      </c>
      <c r="G404">
        <v>10</v>
      </c>
      <c r="H404">
        <v>697</v>
      </c>
      <c r="I404">
        <v>9</v>
      </c>
      <c r="J404" s="1">
        <v>1382</v>
      </c>
      <c r="K404" s="24" t="s">
        <v>1774</v>
      </c>
      <c r="L404" s="7">
        <f>EV[[#This Row],[Current_Debt]]/EV[[#This Row],[Monthly_Income]]</f>
        <v>6.2204618085250032E-2</v>
      </c>
      <c r="M404" t="s">
        <v>2290</v>
      </c>
    </row>
    <row r="405" spans="1:13" x14ac:dyDescent="0.3">
      <c r="A405">
        <v>404</v>
      </c>
      <c r="B405" t="s">
        <v>1674</v>
      </c>
      <c r="C405">
        <v>33</v>
      </c>
      <c r="D405">
        <v>118106</v>
      </c>
      <c r="E405" s="1">
        <v>2179840</v>
      </c>
      <c r="F405">
        <v>9.2999999999999999E-2</v>
      </c>
      <c r="G405">
        <v>25</v>
      </c>
      <c r="H405">
        <v>700</v>
      </c>
      <c r="I405">
        <v>0</v>
      </c>
      <c r="J405" s="1">
        <v>12866</v>
      </c>
      <c r="K405" s="24" t="s">
        <v>1774</v>
      </c>
      <c r="L405" s="7">
        <f>EV[[#This Row],[Current_Debt]]/EV[[#This Row],[Monthly_Income]]</f>
        <v>0.10893604050598615</v>
      </c>
      <c r="M405" t="s">
        <v>2290</v>
      </c>
    </row>
    <row r="406" spans="1:13" x14ac:dyDescent="0.3">
      <c r="A406">
        <v>405</v>
      </c>
      <c r="B406" t="s">
        <v>1675</v>
      </c>
      <c r="C406">
        <v>42</v>
      </c>
      <c r="D406">
        <v>48282</v>
      </c>
      <c r="E406" s="1">
        <v>2052127</v>
      </c>
      <c r="F406">
        <v>0.106</v>
      </c>
      <c r="G406">
        <v>30</v>
      </c>
      <c r="H406">
        <v>735</v>
      </c>
      <c r="I406">
        <v>1</v>
      </c>
      <c r="J406" s="1">
        <v>4335</v>
      </c>
      <c r="K406" s="24" t="s">
        <v>1772</v>
      </c>
      <c r="L406" s="7">
        <f>EV[[#This Row],[Current_Debt]]/EV[[#This Row],[Monthly_Income]]</f>
        <v>8.9785013048340995E-2</v>
      </c>
      <c r="M406" t="s">
        <v>1786</v>
      </c>
    </row>
    <row r="407" spans="1:13" x14ac:dyDescent="0.3">
      <c r="A407">
        <v>406</v>
      </c>
      <c r="B407" t="s">
        <v>1676</v>
      </c>
      <c r="C407">
        <v>20</v>
      </c>
      <c r="D407">
        <v>74399</v>
      </c>
      <c r="E407" s="1">
        <v>1758284</v>
      </c>
      <c r="F407">
        <v>8.6999999999999994E-2</v>
      </c>
      <c r="G407">
        <v>20</v>
      </c>
      <c r="H407">
        <v>727</v>
      </c>
      <c r="I407">
        <v>3</v>
      </c>
      <c r="J407" s="1">
        <v>47905</v>
      </c>
      <c r="K407" s="25" t="s">
        <v>1773</v>
      </c>
      <c r="L407" s="7">
        <f>EV[[#This Row],[Current_Debt]]/EV[[#This Row],[Monthly_Income]]</f>
        <v>0.64389306307880478</v>
      </c>
      <c r="M407" t="s">
        <v>1784</v>
      </c>
    </row>
    <row r="408" spans="1:13" x14ac:dyDescent="0.3">
      <c r="A408">
        <v>407</v>
      </c>
      <c r="B408" t="s">
        <v>1677</v>
      </c>
      <c r="C408">
        <v>24</v>
      </c>
      <c r="D408">
        <v>34307</v>
      </c>
      <c r="E408" s="1">
        <v>1105654</v>
      </c>
      <c r="F408">
        <v>0.109</v>
      </c>
      <c r="G408">
        <v>20</v>
      </c>
      <c r="H408">
        <v>609</v>
      </c>
      <c r="I408">
        <v>15</v>
      </c>
      <c r="J408" s="1">
        <v>31624</v>
      </c>
      <c r="K408" s="25" t="s">
        <v>1773</v>
      </c>
      <c r="L408" s="7">
        <f>EV[[#This Row],[Current_Debt]]/EV[[#This Row],[Monthly_Income]]</f>
        <v>0.92179438598536745</v>
      </c>
      <c r="M408" t="s">
        <v>1784</v>
      </c>
    </row>
    <row r="409" spans="1:13" x14ac:dyDescent="0.3">
      <c r="A409">
        <v>408</v>
      </c>
      <c r="B409" t="s">
        <v>1678</v>
      </c>
      <c r="C409">
        <v>23</v>
      </c>
      <c r="D409">
        <v>97802</v>
      </c>
      <c r="E409" s="1">
        <v>1188979</v>
      </c>
      <c r="F409">
        <v>8.8999999999999996E-2</v>
      </c>
      <c r="G409">
        <v>25</v>
      </c>
      <c r="H409">
        <v>789</v>
      </c>
      <c r="I409">
        <v>1</v>
      </c>
      <c r="J409" s="1">
        <v>4138</v>
      </c>
      <c r="K409" s="25" t="s">
        <v>1773</v>
      </c>
      <c r="L409" s="7">
        <f>EV[[#This Row],[Current_Debt]]/EV[[#This Row],[Monthly_Income]]</f>
        <v>4.2309973211181774E-2</v>
      </c>
      <c r="M409" t="s">
        <v>1784</v>
      </c>
    </row>
    <row r="410" spans="1:13" x14ac:dyDescent="0.3">
      <c r="A410">
        <v>409</v>
      </c>
      <c r="B410" t="s">
        <v>1679</v>
      </c>
      <c r="C410">
        <v>54</v>
      </c>
      <c r="D410">
        <v>63850</v>
      </c>
      <c r="E410" s="1">
        <v>670259</v>
      </c>
      <c r="F410">
        <v>9.1999999999999998E-2</v>
      </c>
      <c r="G410">
        <v>30</v>
      </c>
      <c r="H410">
        <v>712</v>
      </c>
      <c r="I410">
        <v>3</v>
      </c>
      <c r="J410" s="1">
        <v>29045</v>
      </c>
      <c r="K410" s="24" t="s">
        <v>1772</v>
      </c>
      <c r="L410" s="7">
        <f>EV[[#This Row],[Current_Debt]]/EV[[#This Row],[Monthly_Income]]</f>
        <v>0.45489428347689898</v>
      </c>
      <c r="M410" t="s">
        <v>1786</v>
      </c>
    </row>
    <row r="411" spans="1:13" x14ac:dyDescent="0.3">
      <c r="A411">
        <v>410</v>
      </c>
      <c r="B411" t="s">
        <v>1680</v>
      </c>
      <c r="C411">
        <v>62</v>
      </c>
      <c r="D411">
        <v>94585</v>
      </c>
      <c r="E411" s="1">
        <v>2389910</v>
      </c>
      <c r="F411">
        <v>0.106</v>
      </c>
      <c r="G411">
        <v>15</v>
      </c>
      <c r="H411">
        <v>779</v>
      </c>
      <c r="I411">
        <v>7</v>
      </c>
      <c r="J411" s="1">
        <v>8412</v>
      </c>
      <c r="K411" s="26" t="s">
        <v>1774</v>
      </c>
      <c r="L411" s="7">
        <f>EV[[#This Row],[Current_Debt]]/EV[[#This Row],[Monthly_Income]]</f>
        <v>8.89358777818893E-2</v>
      </c>
      <c r="M411" t="s">
        <v>1785</v>
      </c>
    </row>
    <row r="412" spans="1:13" x14ac:dyDescent="0.3">
      <c r="A412">
        <v>411</v>
      </c>
      <c r="B412" t="s">
        <v>1681</v>
      </c>
      <c r="C412">
        <v>63</v>
      </c>
      <c r="D412">
        <v>87338</v>
      </c>
      <c r="E412" s="1">
        <v>1235882</v>
      </c>
      <c r="F412">
        <v>9.2999999999999999E-2</v>
      </c>
      <c r="G412">
        <v>10</v>
      </c>
      <c r="H412">
        <v>761</v>
      </c>
      <c r="I412">
        <v>6</v>
      </c>
      <c r="J412" s="1">
        <v>6606</v>
      </c>
      <c r="K412" s="26" t="s">
        <v>1774</v>
      </c>
      <c r="L412" s="7">
        <f>EV[[#This Row],[Current_Debt]]/EV[[#This Row],[Monthly_Income]]</f>
        <v>7.5637179692688183E-2</v>
      </c>
      <c r="M412" t="s">
        <v>1785</v>
      </c>
    </row>
    <row r="413" spans="1:13" x14ac:dyDescent="0.3">
      <c r="A413">
        <v>412</v>
      </c>
      <c r="B413" t="s">
        <v>1682</v>
      </c>
      <c r="C413">
        <v>25</v>
      </c>
      <c r="D413">
        <v>71263</v>
      </c>
      <c r="E413" s="1">
        <v>512770</v>
      </c>
      <c r="F413">
        <v>0.114</v>
      </c>
      <c r="G413">
        <v>15</v>
      </c>
      <c r="H413">
        <v>747</v>
      </c>
      <c r="I413">
        <v>5</v>
      </c>
      <c r="J413" s="1">
        <v>36113</v>
      </c>
      <c r="K413" s="24" t="s">
        <v>1772</v>
      </c>
      <c r="L413" s="7">
        <f>EV[[#This Row],[Current_Debt]]/EV[[#This Row],[Monthly_Income]]</f>
        <v>0.50675666194238245</v>
      </c>
      <c r="M413" t="s">
        <v>1786</v>
      </c>
    </row>
    <row r="414" spans="1:13" x14ac:dyDescent="0.3">
      <c r="A414">
        <v>413</v>
      </c>
      <c r="B414" t="s">
        <v>1683</v>
      </c>
      <c r="C414">
        <v>52</v>
      </c>
      <c r="D414">
        <v>60577</v>
      </c>
      <c r="E414" s="1">
        <v>2440704</v>
      </c>
      <c r="F414">
        <v>8.3000000000000004E-2</v>
      </c>
      <c r="G414">
        <v>20</v>
      </c>
      <c r="H414">
        <v>692</v>
      </c>
      <c r="I414">
        <v>7</v>
      </c>
      <c r="J414" s="1">
        <v>13325</v>
      </c>
      <c r="K414" s="24" t="s">
        <v>1774</v>
      </c>
      <c r="L414" s="7">
        <f>EV[[#This Row],[Current_Debt]]/EV[[#This Row],[Monthly_Income]]</f>
        <v>0.21996797464384171</v>
      </c>
      <c r="M414" t="s">
        <v>2290</v>
      </c>
    </row>
    <row r="415" spans="1:13" x14ac:dyDescent="0.3">
      <c r="A415">
        <v>414</v>
      </c>
      <c r="B415" t="s">
        <v>1684</v>
      </c>
      <c r="C415">
        <v>47</v>
      </c>
      <c r="D415">
        <v>51749</v>
      </c>
      <c r="E415" s="1">
        <v>1754360</v>
      </c>
      <c r="F415">
        <v>0.10100000000000001</v>
      </c>
      <c r="G415">
        <v>10</v>
      </c>
      <c r="H415">
        <v>664</v>
      </c>
      <c r="I415">
        <v>4</v>
      </c>
      <c r="J415" s="1">
        <v>14553</v>
      </c>
      <c r="K415" s="24" t="s">
        <v>1772</v>
      </c>
      <c r="L415" s="7">
        <f>EV[[#This Row],[Current_Debt]]/EV[[#This Row],[Monthly_Income]]</f>
        <v>0.28122282556184658</v>
      </c>
      <c r="M415" t="s">
        <v>2292</v>
      </c>
    </row>
    <row r="416" spans="1:13" x14ac:dyDescent="0.3">
      <c r="A416">
        <v>415</v>
      </c>
      <c r="B416" t="s">
        <v>1685</v>
      </c>
      <c r="C416">
        <v>59</v>
      </c>
      <c r="D416">
        <v>44227</v>
      </c>
      <c r="E416" s="1">
        <v>1816034</v>
      </c>
      <c r="F416">
        <v>9.6000000000000002E-2</v>
      </c>
      <c r="G416">
        <v>10</v>
      </c>
      <c r="H416">
        <v>718</v>
      </c>
      <c r="I416">
        <v>2</v>
      </c>
      <c r="J416" s="1">
        <v>4049</v>
      </c>
      <c r="K416" s="26" t="s">
        <v>1774</v>
      </c>
      <c r="L416" s="7">
        <f>EV[[#This Row],[Current_Debt]]/EV[[#This Row],[Monthly_Income]]</f>
        <v>9.1550410382797834E-2</v>
      </c>
      <c r="M416" t="s">
        <v>1785</v>
      </c>
    </row>
    <row r="417" spans="1:13" x14ac:dyDescent="0.3">
      <c r="A417">
        <v>416</v>
      </c>
      <c r="B417" t="s">
        <v>1686</v>
      </c>
      <c r="C417">
        <v>40</v>
      </c>
      <c r="D417">
        <v>67721</v>
      </c>
      <c r="E417" s="1">
        <v>2234469</v>
      </c>
      <c r="F417">
        <v>0.11600000000000001</v>
      </c>
      <c r="G417">
        <v>25</v>
      </c>
      <c r="H417">
        <v>708</v>
      </c>
      <c r="I417">
        <v>8</v>
      </c>
      <c r="J417" s="1">
        <v>6147</v>
      </c>
      <c r="K417" s="26" t="s">
        <v>1774</v>
      </c>
      <c r="L417" s="7">
        <f>EV[[#This Row],[Current_Debt]]/EV[[#This Row],[Monthly_Income]]</f>
        <v>9.0769480663309754E-2</v>
      </c>
      <c r="M417" t="s">
        <v>1785</v>
      </c>
    </row>
    <row r="418" spans="1:13" x14ac:dyDescent="0.3">
      <c r="A418">
        <v>417</v>
      </c>
      <c r="B418" t="s">
        <v>1687</v>
      </c>
      <c r="C418">
        <v>27</v>
      </c>
      <c r="D418">
        <v>56517</v>
      </c>
      <c r="E418" s="1">
        <v>1348590</v>
      </c>
      <c r="F418">
        <v>0.104</v>
      </c>
      <c r="G418">
        <v>15</v>
      </c>
      <c r="H418">
        <v>711</v>
      </c>
      <c r="I418">
        <v>11</v>
      </c>
      <c r="J418" s="1">
        <v>34103</v>
      </c>
      <c r="K418" s="24" t="s">
        <v>1772</v>
      </c>
      <c r="L418" s="7">
        <f>EV[[#This Row],[Current_Debt]]/EV[[#This Row],[Monthly_Income]]</f>
        <v>0.60341136295273989</v>
      </c>
      <c r="M418" t="s">
        <v>1786</v>
      </c>
    </row>
    <row r="419" spans="1:13" x14ac:dyDescent="0.3">
      <c r="A419">
        <v>418</v>
      </c>
      <c r="B419" t="s">
        <v>1688</v>
      </c>
      <c r="C419">
        <v>37</v>
      </c>
      <c r="D419">
        <v>43883</v>
      </c>
      <c r="E419" s="1">
        <v>1036477</v>
      </c>
      <c r="F419">
        <v>0.1</v>
      </c>
      <c r="G419">
        <v>20</v>
      </c>
      <c r="H419">
        <v>650</v>
      </c>
      <c r="I419">
        <v>7</v>
      </c>
      <c r="J419" s="1">
        <v>48470</v>
      </c>
      <c r="K419" s="24" t="s">
        <v>1772</v>
      </c>
      <c r="L419" s="7">
        <f>EV[[#This Row],[Current_Debt]]/EV[[#This Row],[Monthly_Income]]</f>
        <v>1.1045279493197822</v>
      </c>
      <c r="M419" t="s">
        <v>2292</v>
      </c>
    </row>
    <row r="420" spans="1:13" x14ac:dyDescent="0.3">
      <c r="A420">
        <v>419</v>
      </c>
      <c r="B420" t="s">
        <v>1689</v>
      </c>
      <c r="C420">
        <v>29</v>
      </c>
      <c r="D420">
        <v>20174</v>
      </c>
      <c r="E420" s="1">
        <v>1538128</v>
      </c>
      <c r="F420">
        <v>8.4000000000000005E-2</v>
      </c>
      <c r="G420">
        <v>25</v>
      </c>
      <c r="H420">
        <v>643</v>
      </c>
      <c r="I420">
        <v>12</v>
      </c>
      <c r="J420" s="1">
        <v>22982</v>
      </c>
      <c r="K420" s="24" t="s">
        <v>1773</v>
      </c>
      <c r="L420" s="7">
        <f>EV[[#This Row],[Current_Debt]]/EV[[#This Row],[Monthly_Income]]</f>
        <v>1.1391890552195896</v>
      </c>
      <c r="M420" t="s">
        <v>2291</v>
      </c>
    </row>
    <row r="421" spans="1:13" x14ac:dyDescent="0.3">
      <c r="A421">
        <v>420</v>
      </c>
      <c r="B421" t="s">
        <v>1690</v>
      </c>
      <c r="C421">
        <v>53</v>
      </c>
      <c r="D421">
        <v>84867</v>
      </c>
      <c r="E421" s="1">
        <v>982483</v>
      </c>
      <c r="F421">
        <v>0.11899999999999999</v>
      </c>
      <c r="G421">
        <v>15</v>
      </c>
      <c r="H421">
        <v>611</v>
      </c>
      <c r="I421">
        <v>9</v>
      </c>
      <c r="J421" s="1">
        <v>6005</v>
      </c>
      <c r="K421" s="24" t="s">
        <v>1773</v>
      </c>
      <c r="L421" s="7">
        <f>EV[[#This Row],[Current_Debt]]/EV[[#This Row],[Monthly_Income]]</f>
        <v>7.075777392861772E-2</v>
      </c>
      <c r="M421" t="s">
        <v>2291</v>
      </c>
    </row>
    <row r="422" spans="1:13" x14ac:dyDescent="0.3">
      <c r="A422">
        <v>421</v>
      </c>
      <c r="B422" t="s">
        <v>1691</v>
      </c>
      <c r="C422">
        <v>43</v>
      </c>
      <c r="D422">
        <v>68508</v>
      </c>
      <c r="E422" s="1">
        <v>2105899</v>
      </c>
      <c r="F422">
        <v>8.1000000000000003E-2</v>
      </c>
      <c r="G422">
        <v>10</v>
      </c>
      <c r="H422">
        <v>817</v>
      </c>
      <c r="I422">
        <v>4</v>
      </c>
      <c r="J422" s="1">
        <v>10471</v>
      </c>
      <c r="K422" s="24" t="s">
        <v>1774</v>
      </c>
      <c r="L422" s="7">
        <f>EV[[#This Row],[Current_Debt]]/EV[[#This Row],[Monthly_Income]]</f>
        <v>0.15284346353710515</v>
      </c>
      <c r="M422" t="s">
        <v>1785</v>
      </c>
    </row>
    <row r="423" spans="1:13" x14ac:dyDescent="0.3">
      <c r="A423">
        <v>422</v>
      </c>
      <c r="B423" t="s">
        <v>1692</v>
      </c>
      <c r="C423">
        <v>53</v>
      </c>
      <c r="D423">
        <v>95892</v>
      </c>
      <c r="E423" s="1">
        <v>1744925</v>
      </c>
      <c r="F423">
        <v>8.4000000000000005E-2</v>
      </c>
      <c r="G423">
        <v>25</v>
      </c>
      <c r="H423">
        <v>702</v>
      </c>
      <c r="I423">
        <v>7</v>
      </c>
      <c r="J423" s="1">
        <v>38007</v>
      </c>
      <c r="K423" s="24" t="s">
        <v>1772</v>
      </c>
      <c r="L423" s="7">
        <f>EV[[#This Row],[Current_Debt]]/EV[[#This Row],[Monthly_Income]]</f>
        <v>0.39635214616443498</v>
      </c>
      <c r="M423" t="s">
        <v>1786</v>
      </c>
    </row>
    <row r="424" spans="1:13" x14ac:dyDescent="0.3">
      <c r="A424">
        <v>423</v>
      </c>
      <c r="B424" t="s">
        <v>1693</v>
      </c>
      <c r="C424">
        <v>60</v>
      </c>
      <c r="D424">
        <v>87556</v>
      </c>
      <c r="E424" s="1">
        <v>1861917</v>
      </c>
      <c r="F424">
        <v>0.109</v>
      </c>
      <c r="G424">
        <v>10</v>
      </c>
      <c r="H424">
        <v>700</v>
      </c>
      <c r="I424">
        <v>9</v>
      </c>
      <c r="J424" s="1">
        <v>42727</v>
      </c>
      <c r="K424" s="24" t="s">
        <v>1772</v>
      </c>
      <c r="L424" s="7">
        <f>EV[[#This Row],[Current_Debt]]/EV[[#This Row],[Monthly_Income]]</f>
        <v>0.48799625382612272</v>
      </c>
      <c r="M424" t="s">
        <v>1786</v>
      </c>
    </row>
    <row r="425" spans="1:13" x14ac:dyDescent="0.3">
      <c r="A425">
        <v>424</v>
      </c>
      <c r="B425" t="s">
        <v>1694</v>
      </c>
      <c r="C425">
        <v>28</v>
      </c>
      <c r="D425">
        <v>44486</v>
      </c>
      <c r="E425" s="1">
        <v>807357</v>
      </c>
      <c r="F425">
        <v>0.1</v>
      </c>
      <c r="G425">
        <v>10</v>
      </c>
      <c r="H425">
        <v>647</v>
      </c>
      <c r="I425">
        <v>9</v>
      </c>
      <c r="J425" s="1">
        <v>44162</v>
      </c>
      <c r="K425" s="24" t="s">
        <v>1773</v>
      </c>
      <c r="L425" s="7">
        <f>EV[[#This Row],[Current_Debt]]/EV[[#This Row],[Monthly_Income]]</f>
        <v>0.99271680978285304</v>
      </c>
      <c r="M425" t="s">
        <v>2291</v>
      </c>
    </row>
    <row r="426" spans="1:13" x14ac:dyDescent="0.3">
      <c r="A426">
        <v>425</v>
      </c>
      <c r="B426" t="s">
        <v>1695</v>
      </c>
      <c r="C426">
        <v>43</v>
      </c>
      <c r="D426">
        <v>106212</v>
      </c>
      <c r="E426" s="1">
        <v>1411002</v>
      </c>
      <c r="F426">
        <v>0.115</v>
      </c>
      <c r="G426">
        <v>25</v>
      </c>
      <c r="H426">
        <v>765</v>
      </c>
      <c r="I426">
        <v>11</v>
      </c>
      <c r="J426" s="1">
        <v>41249</v>
      </c>
      <c r="K426" s="24" t="s">
        <v>1772</v>
      </c>
      <c r="L426" s="7">
        <f>EV[[#This Row],[Current_Debt]]/EV[[#This Row],[Monthly_Income]]</f>
        <v>0.38836477987421386</v>
      </c>
      <c r="M426" t="s">
        <v>1786</v>
      </c>
    </row>
    <row r="427" spans="1:13" x14ac:dyDescent="0.3">
      <c r="A427">
        <v>426</v>
      </c>
      <c r="B427" t="s">
        <v>1696</v>
      </c>
      <c r="C427">
        <v>49</v>
      </c>
      <c r="D427">
        <v>74585</v>
      </c>
      <c r="E427" s="1">
        <v>1474326</v>
      </c>
      <c r="F427">
        <v>0.10299999999999999</v>
      </c>
      <c r="G427">
        <v>30</v>
      </c>
      <c r="H427">
        <v>725</v>
      </c>
      <c r="I427">
        <v>14</v>
      </c>
      <c r="J427" s="1">
        <v>3622</v>
      </c>
      <c r="K427" s="26" t="s">
        <v>1774</v>
      </c>
      <c r="L427" s="7">
        <f>EV[[#This Row],[Current_Debt]]/EV[[#This Row],[Monthly_Income]]</f>
        <v>4.8562043306294829E-2</v>
      </c>
      <c r="M427" t="s">
        <v>1785</v>
      </c>
    </row>
    <row r="428" spans="1:13" x14ac:dyDescent="0.3">
      <c r="A428">
        <v>427</v>
      </c>
      <c r="B428" t="s">
        <v>1697</v>
      </c>
      <c r="C428">
        <v>59</v>
      </c>
      <c r="D428">
        <v>62912</v>
      </c>
      <c r="E428" s="1">
        <v>1841177</v>
      </c>
      <c r="F428">
        <v>8.4000000000000005E-2</v>
      </c>
      <c r="G428">
        <v>30</v>
      </c>
      <c r="H428">
        <v>837</v>
      </c>
      <c r="I428">
        <v>7</v>
      </c>
      <c r="J428" s="1">
        <v>9714</v>
      </c>
      <c r="K428" s="26" t="s">
        <v>1774</v>
      </c>
      <c r="L428" s="7">
        <f>EV[[#This Row],[Current_Debt]]/EV[[#This Row],[Monthly_Income]]</f>
        <v>0.1544061546286877</v>
      </c>
      <c r="M428" t="s">
        <v>1785</v>
      </c>
    </row>
    <row r="429" spans="1:13" x14ac:dyDescent="0.3">
      <c r="A429">
        <v>428</v>
      </c>
      <c r="B429" t="s">
        <v>1698</v>
      </c>
      <c r="C429">
        <v>22</v>
      </c>
      <c r="D429">
        <v>114697</v>
      </c>
      <c r="E429" s="1">
        <v>1538861</v>
      </c>
      <c r="F429">
        <v>8.8999999999999996E-2</v>
      </c>
      <c r="G429">
        <v>20</v>
      </c>
      <c r="H429">
        <v>612</v>
      </c>
      <c r="I429">
        <v>0</v>
      </c>
      <c r="J429" s="1">
        <v>25245</v>
      </c>
      <c r="K429" s="25" t="s">
        <v>1773</v>
      </c>
      <c r="L429" s="7">
        <f>EV[[#This Row],[Current_Debt]]/EV[[#This Row],[Monthly_Income]]</f>
        <v>0.22010165915411911</v>
      </c>
      <c r="M429" t="s">
        <v>1784</v>
      </c>
    </row>
    <row r="430" spans="1:13" x14ac:dyDescent="0.3">
      <c r="A430">
        <v>429</v>
      </c>
      <c r="B430" t="s">
        <v>1699</v>
      </c>
      <c r="C430">
        <v>49</v>
      </c>
      <c r="D430">
        <v>79148</v>
      </c>
      <c r="E430" s="1">
        <v>2234802</v>
      </c>
      <c r="F430">
        <v>8.4000000000000005E-2</v>
      </c>
      <c r="G430">
        <v>15</v>
      </c>
      <c r="H430">
        <v>714</v>
      </c>
      <c r="I430">
        <v>9</v>
      </c>
      <c r="J430" s="1">
        <v>37222</v>
      </c>
      <c r="K430" s="24" t="s">
        <v>1772</v>
      </c>
      <c r="L430" s="7">
        <f>EV[[#This Row],[Current_Debt]]/EV[[#This Row],[Monthly_Income]]</f>
        <v>0.47028351948248848</v>
      </c>
      <c r="M430" t="s">
        <v>1786</v>
      </c>
    </row>
    <row r="431" spans="1:13" x14ac:dyDescent="0.3">
      <c r="A431">
        <v>430</v>
      </c>
      <c r="B431" t="s">
        <v>1700</v>
      </c>
      <c r="C431">
        <v>64</v>
      </c>
      <c r="D431">
        <v>74274</v>
      </c>
      <c r="E431" s="1">
        <v>1065686</v>
      </c>
      <c r="F431">
        <v>9.0999999999999998E-2</v>
      </c>
      <c r="G431">
        <v>15</v>
      </c>
      <c r="H431">
        <v>665</v>
      </c>
      <c r="I431">
        <v>12</v>
      </c>
      <c r="J431" s="1">
        <v>33098</v>
      </c>
      <c r="K431" s="24" t="s">
        <v>1772</v>
      </c>
      <c r="L431" s="7">
        <f>EV[[#This Row],[Current_Debt]]/EV[[#This Row],[Monthly_Income]]</f>
        <v>0.44562027088887096</v>
      </c>
      <c r="M431" t="s">
        <v>2292</v>
      </c>
    </row>
    <row r="432" spans="1:13" x14ac:dyDescent="0.3">
      <c r="A432">
        <v>431</v>
      </c>
      <c r="B432" t="s">
        <v>1701</v>
      </c>
      <c r="C432">
        <v>48</v>
      </c>
      <c r="D432">
        <v>50965</v>
      </c>
      <c r="E432" s="1">
        <v>1929540</v>
      </c>
      <c r="F432">
        <v>0.09</v>
      </c>
      <c r="G432">
        <v>15</v>
      </c>
      <c r="H432">
        <v>769</v>
      </c>
      <c r="I432">
        <v>12</v>
      </c>
      <c r="J432" s="1">
        <v>11093</v>
      </c>
      <c r="K432" s="24" t="s">
        <v>1774</v>
      </c>
      <c r="L432" s="7">
        <f>EV[[#This Row],[Current_Debt]]/EV[[#This Row],[Monthly_Income]]</f>
        <v>0.21765917786716374</v>
      </c>
      <c r="M432" t="s">
        <v>1785</v>
      </c>
    </row>
    <row r="433" spans="1:13" x14ac:dyDescent="0.3">
      <c r="A433">
        <v>432</v>
      </c>
      <c r="B433" t="s">
        <v>1702</v>
      </c>
      <c r="C433">
        <v>58</v>
      </c>
      <c r="D433">
        <v>36163</v>
      </c>
      <c r="E433" s="1">
        <v>2142464</v>
      </c>
      <c r="F433">
        <v>0.09</v>
      </c>
      <c r="G433">
        <v>30</v>
      </c>
      <c r="H433">
        <v>769</v>
      </c>
      <c r="I433">
        <v>14</v>
      </c>
      <c r="J433" s="1">
        <v>31440</v>
      </c>
      <c r="K433" s="24" t="s">
        <v>1772</v>
      </c>
      <c r="L433" s="7">
        <f>EV[[#This Row],[Current_Debt]]/EV[[#This Row],[Monthly_Income]]</f>
        <v>0.86939689738130133</v>
      </c>
      <c r="M433" t="s">
        <v>1786</v>
      </c>
    </row>
    <row r="434" spans="1:13" x14ac:dyDescent="0.3">
      <c r="A434">
        <v>433</v>
      </c>
      <c r="B434" t="s">
        <v>1703</v>
      </c>
      <c r="C434">
        <v>58</v>
      </c>
      <c r="D434">
        <v>69719</v>
      </c>
      <c r="E434" s="1">
        <v>2120376</v>
      </c>
      <c r="F434">
        <v>0.109</v>
      </c>
      <c r="G434">
        <v>25</v>
      </c>
      <c r="H434">
        <v>738</v>
      </c>
      <c r="I434">
        <v>0</v>
      </c>
      <c r="J434" s="1">
        <v>19015</v>
      </c>
      <c r="K434" s="24" t="s">
        <v>1772</v>
      </c>
      <c r="L434" s="7">
        <f>EV[[#This Row],[Current_Debt]]/EV[[#This Row],[Monthly_Income]]</f>
        <v>0.27273770421262494</v>
      </c>
      <c r="M434" t="s">
        <v>1786</v>
      </c>
    </row>
    <row r="435" spans="1:13" x14ac:dyDescent="0.3">
      <c r="A435">
        <v>434</v>
      </c>
      <c r="B435" t="s">
        <v>1704</v>
      </c>
      <c r="C435">
        <v>58</v>
      </c>
      <c r="D435">
        <v>103569</v>
      </c>
      <c r="E435" s="1">
        <v>2357595</v>
      </c>
      <c r="F435">
        <v>8.4000000000000005E-2</v>
      </c>
      <c r="G435">
        <v>15</v>
      </c>
      <c r="H435">
        <v>791</v>
      </c>
      <c r="I435">
        <v>0</v>
      </c>
      <c r="J435" s="1">
        <v>11012</v>
      </c>
      <c r="K435" s="24" t="s">
        <v>1772</v>
      </c>
      <c r="L435" s="7">
        <f>EV[[#This Row],[Current_Debt]]/EV[[#This Row],[Monthly_Income]]</f>
        <v>0.10632525176452413</v>
      </c>
      <c r="M435" t="s">
        <v>1786</v>
      </c>
    </row>
    <row r="436" spans="1:13" x14ac:dyDescent="0.3">
      <c r="A436">
        <v>435</v>
      </c>
      <c r="B436" t="s">
        <v>1705</v>
      </c>
      <c r="C436">
        <v>44</v>
      </c>
      <c r="D436">
        <v>118268</v>
      </c>
      <c r="E436" s="1">
        <v>777295</v>
      </c>
      <c r="F436">
        <v>8.6999999999999994E-2</v>
      </c>
      <c r="G436">
        <v>10</v>
      </c>
      <c r="H436">
        <v>714</v>
      </c>
      <c r="I436">
        <v>1</v>
      </c>
      <c r="J436" s="1">
        <v>11079</v>
      </c>
      <c r="K436" s="24" t="s">
        <v>1772</v>
      </c>
      <c r="L436" s="7">
        <f>EV[[#This Row],[Current_Debt]]/EV[[#This Row],[Monthly_Income]]</f>
        <v>9.3677072411810461E-2</v>
      </c>
      <c r="M436" t="s">
        <v>1786</v>
      </c>
    </row>
    <row r="437" spans="1:13" x14ac:dyDescent="0.3">
      <c r="A437">
        <v>436</v>
      </c>
      <c r="B437" t="s">
        <v>1706</v>
      </c>
      <c r="C437">
        <v>26</v>
      </c>
      <c r="D437">
        <v>87253</v>
      </c>
      <c r="E437" s="1">
        <v>2282811</v>
      </c>
      <c r="F437">
        <v>0.113</v>
      </c>
      <c r="G437">
        <v>15</v>
      </c>
      <c r="H437">
        <v>777</v>
      </c>
      <c r="I437">
        <v>9</v>
      </c>
      <c r="J437" s="1">
        <v>9181</v>
      </c>
      <c r="K437" s="26" t="s">
        <v>1774</v>
      </c>
      <c r="L437" s="7">
        <f>EV[[#This Row],[Current_Debt]]/EV[[#This Row],[Monthly_Income]]</f>
        <v>0.1052227430575453</v>
      </c>
      <c r="M437" t="s">
        <v>1785</v>
      </c>
    </row>
    <row r="438" spans="1:13" x14ac:dyDescent="0.3">
      <c r="A438">
        <v>437</v>
      </c>
      <c r="B438" t="s">
        <v>1707</v>
      </c>
      <c r="C438">
        <v>34</v>
      </c>
      <c r="D438">
        <v>83266</v>
      </c>
      <c r="E438" s="1">
        <v>1222501</v>
      </c>
      <c r="F438">
        <v>0.10299999999999999</v>
      </c>
      <c r="G438">
        <v>30</v>
      </c>
      <c r="H438">
        <v>701</v>
      </c>
      <c r="I438">
        <v>5</v>
      </c>
      <c r="J438" s="1">
        <v>25158</v>
      </c>
      <c r="K438" s="24" t="s">
        <v>1772</v>
      </c>
      <c r="L438" s="7">
        <f>EV[[#This Row],[Current_Debt]]/EV[[#This Row],[Monthly_Income]]</f>
        <v>0.3021401292244133</v>
      </c>
      <c r="M438" t="s">
        <v>1786</v>
      </c>
    </row>
    <row r="439" spans="1:13" x14ac:dyDescent="0.3">
      <c r="A439">
        <v>438</v>
      </c>
      <c r="B439" t="s">
        <v>1708</v>
      </c>
      <c r="C439">
        <v>38</v>
      </c>
      <c r="D439">
        <v>76523</v>
      </c>
      <c r="E439" s="1">
        <v>1274383</v>
      </c>
      <c r="F439">
        <v>9.1999999999999998E-2</v>
      </c>
      <c r="G439">
        <v>15</v>
      </c>
      <c r="H439">
        <v>666</v>
      </c>
      <c r="I439">
        <v>3</v>
      </c>
      <c r="J439" s="1">
        <v>29786</v>
      </c>
      <c r="K439" s="24" t="s">
        <v>1772</v>
      </c>
      <c r="L439" s="7">
        <f>EV[[#This Row],[Current_Debt]]/EV[[#This Row],[Monthly_Income]]</f>
        <v>0.38924244998235824</v>
      </c>
      <c r="M439" t="s">
        <v>2292</v>
      </c>
    </row>
    <row r="440" spans="1:13" x14ac:dyDescent="0.3">
      <c r="A440">
        <v>439</v>
      </c>
      <c r="B440" t="s">
        <v>1709</v>
      </c>
      <c r="C440">
        <v>51</v>
      </c>
      <c r="D440">
        <v>79254</v>
      </c>
      <c r="E440" s="1">
        <v>1957672</v>
      </c>
      <c r="F440">
        <v>0.09</v>
      </c>
      <c r="G440">
        <v>20</v>
      </c>
      <c r="H440">
        <v>765</v>
      </c>
      <c r="I440">
        <v>5</v>
      </c>
      <c r="J440" s="1">
        <v>30728</v>
      </c>
      <c r="K440" s="24" t="s">
        <v>1772</v>
      </c>
      <c r="L440" s="7">
        <f>EV[[#This Row],[Current_Debt]]/EV[[#This Row],[Monthly_Income]]</f>
        <v>0.38771544653897594</v>
      </c>
      <c r="M440" t="s">
        <v>1786</v>
      </c>
    </row>
    <row r="441" spans="1:13" x14ac:dyDescent="0.3">
      <c r="A441">
        <v>440</v>
      </c>
      <c r="B441" t="s">
        <v>1710</v>
      </c>
      <c r="C441">
        <v>49</v>
      </c>
      <c r="D441">
        <v>83672</v>
      </c>
      <c r="E441" s="1">
        <v>2150936</v>
      </c>
      <c r="F441">
        <v>0.113</v>
      </c>
      <c r="G441">
        <v>30</v>
      </c>
      <c r="H441">
        <v>653</v>
      </c>
      <c r="I441">
        <v>0</v>
      </c>
      <c r="J441" s="1">
        <v>29741</v>
      </c>
      <c r="K441" s="24" t="s">
        <v>1772</v>
      </c>
      <c r="L441" s="7">
        <f>EV[[#This Row],[Current_Debt]]/EV[[#This Row],[Monthly_Income]]</f>
        <v>0.35544746151639733</v>
      </c>
      <c r="M441" t="s">
        <v>2292</v>
      </c>
    </row>
    <row r="442" spans="1:13" x14ac:dyDescent="0.3">
      <c r="A442">
        <v>441</v>
      </c>
      <c r="B442" t="s">
        <v>1711</v>
      </c>
      <c r="C442">
        <v>22</v>
      </c>
      <c r="D442">
        <v>39278</v>
      </c>
      <c r="E442" s="1">
        <v>1224847</v>
      </c>
      <c r="F442">
        <v>0.10100000000000001</v>
      </c>
      <c r="G442">
        <v>15</v>
      </c>
      <c r="H442">
        <v>849</v>
      </c>
      <c r="I442">
        <v>9</v>
      </c>
      <c r="J442" s="1">
        <v>9183</v>
      </c>
      <c r="K442" s="25" t="s">
        <v>1773</v>
      </c>
      <c r="L442" s="7">
        <f>EV[[#This Row],[Current_Debt]]/EV[[#This Row],[Monthly_Income]]</f>
        <v>0.23379499974540455</v>
      </c>
      <c r="M442" t="s">
        <v>1784</v>
      </c>
    </row>
    <row r="443" spans="1:13" x14ac:dyDescent="0.3">
      <c r="A443">
        <v>442</v>
      </c>
      <c r="B443" t="s">
        <v>1712</v>
      </c>
      <c r="C443">
        <v>23</v>
      </c>
      <c r="D443">
        <v>80523</v>
      </c>
      <c r="E443" s="1">
        <v>1930280</v>
      </c>
      <c r="F443">
        <v>0.11799999999999999</v>
      </c>
      <c r="G443">
        <v>25</v>
      </c>
      <c r="H443">
        <v>825</v>
      </c>
      <c r="I443">
        <v>15</v>
      </c>
      <c r="J443" s="1">
        <v>19157</v>
      </c>
      <c r="K443" s="25" t="s">
        <v>1773</v>
      </c>
      <c r="L443" s="7">
        <f>EV[[#This Row],[Current_Debt]]/EV[[#This Row],[Monthly_Income]]</f>
        <v>0.23790718179898912</v>
      </c>
      <c r="M443" t="s">
        <v>1784</v>
      </c>
    </row>
    <row r="444" spans="1:13" x14ac:dyDescent="0.3">
      <c r="A444">
        <v>443</v>
      </c>
      <c r="B444" t="s">
        <v>1713</v>
      </c>
      <c r="C444">
        <v>29</v>
      </c>
      <c r="D444">
        <v>39992</v>
      </c>
      <c r="E444" s="1">
        <v>1754960</v>
      </c>
      <c r="F444">
        <v>0.108</v>
      </c>
      <c r="G444">
        <v>25</v>
      </c>
      <c r="H444">
        <v>659</v>
      </c>
      <c r="I444">
        <v>15</v>
      </c>
      <c r="J444" s="1">
        <v>34904</v>
      </c>
      <c r="K444" s="24" t="s">
        <v>1772</v>
      </c>
      <c r="L444" s="7">
        <f>EV[[#This Row],[Current_Debt]]/EV[[#This Row],[Monthly_Income]]</f>
        <v>0.87277455491098221</v>
      </c>
      <c r="M444" t="s">
        <v>2292</v>
      </c>
    </row>
    <row r="445" spans="1:13" x14ac:dyDescent="0.3">
      <c r="A445">
        <v>444</v>
      </c>
      <c r="B445" t="s">
        <v>1714</v>
      </c>
      <c r="C445">
        <v>61</v>
      </c>
      <c r="D445">
        <v>112550</v>
      </c>
      <c r="E445" s="1">
        <v>1643932</v>
      </c>
      <c r="F445">
        <v>0.111</v>
      </c>
      <c r="G445">
        <v>20</v>
      </c>
      <c r="H445">
        <v>707</v>
      </c>
      <c r="I445">
        <v>11</v>
      </c>
      <c r="J445" s="1">
        <v>11525</v>
      </c>
      <c r="K445" s="24" t="s">
        <v>1774</v>
      </c>
      <c r="L445" s="7">
        <f>EV[[#This Row],[Current_Debt]]/EV[[#This Row],[Monthly_Income]]</f>
        <v>0.10239893380719681</v>
      </c>
      <c r="M445" t="s">
        <v>1785</v>
      </c>
    </row>
    <row r="446" spans="1:13" x14ac:dyDescent="0.3">
      <c r="A446">
        <v>445</v>
      </c>
      <c r="B446" t="s">
        <v>1715</v>
      </c>
      <c r="C446">
        <v>25</v>
      </c>
      <c r="D446">
        <v>30576</v>
      </c>
      <c r="E446" s="1">
        <v>1524896</v>
      </c>
      <c r="F446">
        <v>0.09</v>
      </c>
      <c r="G446">
        <v>10</v>
      </c>
      <c r="H446">
        <v>845</v>
      </c>
      <c r="I446">
        <v>3</v>
      </c>
      <c r="J446" s="1">
        <v>20851</v>
      </c>
      <c r="K446" s="24" t="s">
        <v>1772</v>
      </c>
      <c r="L446" s="7">
        <f>EV[[#This Row],[Current_Debt]]/EV[[#This Row],[Monthly_Income]]</f>
        <v>0.68194008372579806</v>
      </c>
      <c r="M446" t="s">
        <v>1786</v>
      </c>
    </row>
    <row r="447" spans="1:13" x14ac:dyDescent="0.3">
      <c r="A447">
        <v>446</v>
      </c>
      <c r="B447" t="s">
        <v>1716</v>
      </c>
      <c r="C447">
        <v>37</v>
      </c>
      <c r="D447">
        <v>118408</v>
      </c>
      <c r="E447" s="1">
        <v>1494819</v>
      </c>
      <c r="F447">
        <v>0.107</v>
      </c>
      <c r="G447">
        <v>30</v>
      </c>
      <c r="H447">
        <v>648</v>
      </c>
      <c r="I447">
        <v>0</v>
      </c>
      <c r="J447" s="1">
        <v>41812</v>
      </c>
      <c r="K447" s="24" t="s">
        <v>1773</v>
      </c>
      <c r="L447" s="7">
        <f>EV[[#This Row],[Current_Debt]]/EV[[#This Row],[Monthly_Income]]</f>
        <v>0.35311803256536722</v>
      </c>
      <c r="M447" t="s">
        <v>2291</v>
      </c>
    </row>
    <row r="448" spans="1:13" x14ac:dyDescent="0.3">
      <c r="A448">
        <v>447</v>
      </c>
      <c r="B448" t="s">
        <v>1717</v>
      </c>
      <c r="C448">
        <v>47</v>
      </c>
      <c r="D448">
        <v>28024</v>
      </c>
      <c r="E448" s="1">
        <v>1089095</v>
      </c>
      <c r="F448">
        <v>9.8000000000000004E-2</v>
      </c>
      <c r="G448">
        <v>15</v>
      </c>
      <c r="H448">
        <v>762</v>
      </c>
      <c r="I448">
        <v>11</v>
      </c>
      <c r="J448" s="1">
        <v>42521</v>
      </c>
      <c r="K448" s="24" t="s">
        <v>1772</v>
      </c>
      <c r="L448" s="7">
        <f>EV[[#This Row],[Current_Debt]]/EV[[#This Row],[Monthly_Income]]</f>
        <v>1.517306594347702</v>
      </c>
      <c r="M448" t="s">
        <v>1786</v>
      </c>
    </row>
    <row r="449" spans="1:13" x14ac:dyDescent="0.3">
      <c r="A449">
        <v>448</v>
      </c>
      <c r="B449" t="s">
        <v>1718</v>
      </c>
      <c r="C449">
        <v>40</v>
      </c>
      <c r="D449">
        <v>40362</v>
      </c>
      <c r="E449" s="1">
        <v>2324116</v>
      </c>
      <c r="F449">
        <v>8.8999999999999996E-2</v>
      </c>
      <c r="G449">
        <v>20</v>
      </c>
      <c r="H449">
        <v>628</v>
      </c>
      <c r="I449">
        <v>9</v>
      </c>
      <c r="J449" s="1">
        <v>10555</v>
      </c>
      <c r="K449" s="24" t="s">
        <v>1773</v>
      </c>
      <c r="L449" s="7">
        <f>EV[[#This Row],[Current_Debt]]/EV[[#This Row],[Monthly_Income]]</f>
        <v>0.26150834943758983</v>
      </c>
      <c r="M449" t="s">
        <v>2291</v>
      </c>
    </row>
    <row r="450" spans="1:13" x14ac:dyDescent="0.3">
      <c r="A450">
        <v>449</v>
      </c>
      <c r="B450" t="s">
        <v>1719</v>
      </c>
      <c r="C450">
        <v>26</v>
      </c>
      <c r="D450">
        <v>100087</v>
      </c>
      <c r="E450" s="1">
        <v>1573383</v>
      </c>
      <c r="F450">
        <v>8.5000000000000006E-2</v>
      </c>
      <c r="G450">
        <v>15</v>
      </c>
      <c r="H450">
        <v>626</v>
      </c>
      <c r="I450">
        <v>7</v>
      </c>
      <c r="J450" s="1">
        <v>48031</v>
      </c>
      <c r="K450" s="24" t="s">
        <v>1773</v>
      </c>
      <c r="L450" s="7">
        <f>EV[[#This Row],[Current_Debt]]/EV[[#This Row],[Monthly_Income]]</f>
        <v>0.47989249353062835</v>
      </c>
      <c r="M450" t="s">
        <v>2291</v>
      </c>
    </row>
    <row r="451" spans="1:13" x14ac:dyDescent="0.3">
      <c r="A451">
        <v>450</v>
      </c>
      <c r="B451" t="s">
        <v>1720</v>
      </c>
      <c r="C451">
        <v>30</v>
      </c>
      <c r="D451">
        <v>79535</v>
      </c>
      <c r="E451" s="1">
        <v>1115420</v>
      </c>
      <c r="F451">
        <v>0.08</v>
      </c>
      <c r="G451">
        <v>15</v>
      </c>
      <c r="H451">
        <v>682</v>
      </c>
      <c r="I451">
        <v>9</v>
      </c>
      <c r="J451" s="1">
        <v>49616</v>
      </c>
      <c r="K451" s="24" t="s">
        <v>1772</v>
      </c>
      <c r="L451" s="7">
        <f>EV[[#This Row],[Current_Debt]]/EV[[#This Row],[Monthly_Income]]</f>
        <v>0.62382598855849625</v>
      </c>
      <c r="M451" t="s">
        <v>1786</v>
      </c>
    </row>
    <row r="452" spans="1:13" x14ac:dyDescent="0.3">
      <c r="A452">
        <v>451</v>
      </c>
      <c r="B452" t="s">
        <v>1721</v>
      </c>
      <c r="C452">
        <v>37</v>
      </c>
      <c r="D452">
        <v>77622</v>
      </c>
      <c r="E452" s="1">
        <v>962942</v>
      </c>
      <c r="F452">
        <v>9.6000000000000002E-2</v>
      </c>
      <c r="G452">
        <v>10</v>
      </c>
      <c r="H452">
        <v>634</v>
      </c>
      <c r="I452">
        <v>15</v>
      </c>
      <c r="J452" s="1">
        <v>45168</v>
      </c>
      <c r="K452" s="24" t="s">
        <v>1773</v>
      </c>
      <c r="L452" s="7">
        <f>EV[[#This Row],[Current_Debt]]/EV[[#This Row],[Monthly_Income]]</f>
        <v>0.58189688490376434</v>
      </c>
      <c r="M452" t="s">
        <v>2291</v>
      </c>
    </row>
    <row r="453" spans="1:13" x14ac:dyDescent="0.3">
      <c r="A453">
        <v>452</v>
      </c>
      <c r="B453" t="s">
        <v>1722</v>
      </c>
      <c r="C453">
        <v>29</v>
      </c>
      <c r="D453">
        <v>106420</v>
      </c>
      <c r="E453" s="1">
        <v>1222952</v>
      </c>
      <c r="F453">
        <v>8.4000000000000005E-2</v>
      </c>
      <c r="G453">
        <v>10</v>
      </c>
      <c r="H453">
        <v>735</v>
      </c>
      <c r="I453">
        <v>11</v>
      </c>
      <c r="J453" s="1">
        <v>28917</v>
      </c>
      <c r="K453" s="24" t="s">
        <v>1772</v>
      </c>
      <c r="L453" s="7">
        <f>EV[[#This Row],[Current_Debt]]/EV[[#This Row],[Monthly_Income]]</f>
        <v>0.27172523961661343</v>
      </c>
      <c r="M453" t="s">
        <v>1786</v>
      </c>
    </row>
    <row r="454" spans="1:13" x14ac:dyDescent="0.3">
      <c r="A454">
        <v>453</v>
      </c>
      <c r="B454" t="s">
        <v>1723</v>
      </c>
      <c r="C454">
        <v>27</v>
      </c>
      <c r="D454">
        <v>72508</v>
      </c>
      <c r="E454" s="1">
        <v>2226796</v>
      </c>
      <c r="F454">
        <v>0.109</v>
      </c>
      <c r="G454">
        <v>30</v>
      </c>
      <c r="H454">
        <v>609</v>
      </c>
      <c r="I454">
        <v>0</v>
      </c>
      <c r="J454" s="1">
        <v>47881</v>
      </c>
      <c r="K454" s="24" t="s">
        <v>1773</v>
      </c>
      <c r="L454" s="7">
        <f>EV[[#This Row],[Current_Debt]]/EV[[#This Row],[Monthly_Income]]</f>
        <v>0.66035471947922986</v>
      </c>
      <c r="M454" t="s">
        <v>2291</v>
      </c>
    </row>
    <row r="455" spans="1:13" x14ac:dyDescent="0.3">
      <c r="A455">
        <v>454</v>
      </c>
      <c r="B455" t="s">
        <v>1724</v>
      </c>
      <c r="C455">
        <v>26</v>
      </c>
      <c r="D455">
        <v>51894</v>
      </c>
      <c r="E455" s="1">
        <v>690128</v>
      </c>
      <c r="F455">
        <v>9.7000000000000003E-2</v>
      </c>
      <c r="G455">
        <v>25</v>
      </c>
      <c r="H455">
        <v>610</v>
      </c>
      <c r="I455">
        <v>2</v>
      </c>
      <c r="J455" s="1">
        <v>48854</v>
      </c>
      <c r="K455" s="24" t="s">
        <v>1773</v>
      </c>
      <c r="L455" s="7">
        <f>EV[[#This Row],[Current_Debt]]/EV[[#This Row],[Monthly_Income]]</f>
        <v>0.94141904651790187</v>
      </c>
      <c r="M455" t="s">
        <v>2291</v>
      </c>
    </row>
    <row r="456" spans="1:13" x14ac:dyDescent="0.3">
      <c r="A456">
        <v>455</v>
      </c>
      <c r="B456" t="s">
        <v>1725</v>
      </c>
      <c r="C456">
        <v>31</v>
      </c>
      <c r="D456">
        <v>75366</v>
      </c>
      <c r="E456" s="1">
        <v>1825108</v>
      </c>
      <c r="F456">
        <v>0.107</v>
      </c>
      <c r="G456">
        <v>30</v>
      </c>
      <c r="H456">
        <v>662</v>
      </c>
      <c r="I456">
        <v>15</v>
      </c>
      <c r="J456" s="1">
        <v>9748</v>
      </c>
      <c r="K456" s="24" t="s">
        <v>1772</v>
      </c>
      <c r="L456" s="7">
        <f>EV[[#This Row],[Current_Debt]]/EV[[#This Row],[Monthly_Income]]</f>
        <v>0.12934214367221294</v>
      </c>
      <c r="M456" t="s">
        <v>2292</v>
      </c>
    </row>
    <row r="457" spans="1:13" x14ac:dyDescent="0.3">
      <c r="A457">
        <v>456</v>
      </c>
      <c r="B457" t="s">
        <v>1726</v>
      </c>
      <c r="C457">
        <v>20</v>
      </c>
      <c r="D457">
        <v>29913</v>
      </c>
      <c r="E457" s="1">
        <v>889185</v>
      </c>
      <c r="F457">
        <v>0.11899999999999999</v>
      </c>
      <c r="G457">
        <v>15</v>
      </c>
      <c r="H457">
        <v>818</v>
      </c>
      <c r="I457">
        <v>5</v>
      </c>
      <c r="J457" s="1">
        <v>28679</v>
      </c>
      <c r="K457" s="25" t="s">
        <v>1773</v>
      </c>
      <c r="L457" s="7">
        <f>EV[[#This Row],[Current_Debt]]/EV[[#This Row],[Monthly_Income]]</f>
        <v>0.95874703306254805</v>
      </c>
      <c r="M457" t="s">
        <v>1784</v>
      </c>
    </row>
    <row r="458" spans="1:13" x14ac:dyDescent="0.3">
      <c r="A458">
        <v>457</v>
      </c>
      <c r="B458" t="s">
        <v>1727</v>
      </c>
      <c r="C458">
        <v>52</v>
      </c>
      <c r="D458">
        <v>76971</v>
      </c>
      <c r="E458" s="1">
        <v>1691283</v>
      </c>
      <c r="F458">
        <v>0.113</v>
      </c>
      <c r="G458">
        <v>20</v>
      </c>
      <c r="H458">
        <v>676</v>
      </c>
      <c r="I458">
        <v>9</v>
      </c>
      <c r="J458" s="1">
        <v>44272</v>
      </c>
      <c r="K458" s="24" t="s">
        <v>1772</v>
      </c>
      <c r="L458" s="7">
        <f>EV[[#This Row],[Current_Debt]]/EV[[#This Row],[Monthly_Income]]</f>
        <v>0.57517766431513162</v>
      </c>
      <c r="M458" t="s">
        <v>2292</v>
      </c>
    </row>
    <row r="459" spans="1:13" x14ac:dyDescent="0.3">
      <c r="A459">
        <v>458</v>
      </c>
      <c r="B459" t="s">
        <v>1728</v>
      </c>
      <c r="C459">
        <v>54</v>
      </c>
      <c r="D459">
        <v>100126</v>
      </c>
      <c r="E459" s="1">
        <v>1676493</v>
      </c>
      <c r="F459">
        <v>8.7999999999999995E-2</v>
      </c>
      <c r="G459">
        <v>30</v>
      </c>
      <c r="H459">
        <v>672</v>
      </c>
      <c r="I459">
        <v>8</v>
      </c>
      <c r="J459" s="1">
        <v>39811</v>
      </c>
      <c r="K459" s="24" t="s">
        <v>1772</v>
      </c>
      <c r="L459" s="7">
        <f>EV[[#This Row],[Current_Debt]]/EV[[#This Row],[Monthly_Income]]</f>
        <v>0.39760901264406845</v>
      </c>
      <c r="M459" t="s">
        <v>2292</v>
      </c>
    </row>
    <row r="460" spans="1:13" x14ac:dyDescent="0.3">
      <c r="A460">
        <v>459</v>
      </c>
      <c r="B460" t="s">
        <v>1729</v>
      </c>
      <c r="C460">
        <v>58</v>
      </c>
      <c r="D460">
        <v>69060</v>
      </c>
      <c r="E460" s="1">
        <v>2184014</v>
      </c>
      <c r="F460">
        <v>0.113</v>
      </c>
      <c r="G460">
        <v>25</v>
      </c>
      <c r="H460">
        <v>791</v>
      </c>
      <c r="I460">
        <v>0</v>
      </c>
      <c r="J460" s="1">
        <v>6378</v>
      </c>
      <c r="K460" s="24" t="s">
        <v>1772</v>
      </c>
      <c r="L460" s="7">
        <f>EV[[#This Row],[Current_Debt]]/EV[[#This Row],[Monthly_Income]]</f>
        <v>9.2354474370112946E-2</v>
      </c>
      <c r="M460" t="s">
        <v>1786</v>
      </c>
    </row>
    <row r="461" spans="1:13" x14ac:dyDescent="0.3">
      <c r="A461">
        <v>460</v>
      </c>
      <c r="B461" t="s">
        <v>1730</v>
      </c>
      <c r="C461">
        <v>42</v>
      </c>
      <c r="D461">
        <v>63336</v>
      </c>
      <c r="E461" s="1">
        <v>1169127</v>
      </c>
      <c r="F461">
        <v>0.11799999999999999</v>
      </c>
      <c r="G461">
        <v>30</v>
      </c>
      <c r="H461">
        <v>628</v>
      </c>
      <c r="I461">
        <v>15</v>
      </c>
      <c r="J461" s="1">
        <v>38226</v>
      </c>
      <c r="K461" s="24" t="s">
        <v>1773</v>
      </c>
      <c r="L461" s="7">
        <f>EV[[#This Row],[Current_Debt]]/EV[[#This Row],[Monthly_Income]]</f>
        <v>0.60354300871542255</v>
      </c>
      <c r="M461" t="s">
        <v>2291</v>
      </c>
    </row>
    <row r="462" spans="1:13" x14ac:dyDescent="0.3">
      <c r="A462">
        <v>461</v>
      </c>
      <c r="B462" t="s">
        <v>1731</v>
      </c>
      <c r="C462">
        <v>22</v>
      </c>
      <c r="D462">
        <v>76628</v>
      </c>
      <c r="E462" s="1">
        <v>866739</v>
      </c>
      <c r="F462">
        <v>0.109</v>
      </c>
      <c r="G462">
        <v>30</v>
      </c>
      <c r="H462">
        <v>820</v>
      </c>
      <c r="I462">
        <v>13</v>
      </c>
      <c r="J462" s="1">
        <v>43107</v>
      </c>
      <c r="K462" s="25" t="s">
        <v>1773</v>
      </c>
      <c r="L462" s="7">
        <f>EV[[#This Row],[Current_Debt]]/EV[[#This Row],[Monthly_Income]]</f>
        <v>0.5625489377251135</v>
      </c>
      <c r="M462" t="s">
        <v>1784</v>
      </c>
    </row>
    <row r="463" spans="1:13" x14ac:dyDescent="0.3">
      <c r="A463">
        <v>462</v>
      </c>
      <c r="B463" t="s">
        <v>1732</v>
      </c>
      <c r="C463">
        <v>55</v>
      </c>
      <c r="D463">
        <v>86314</v>
      </c>
      <c r="E463" s="1">
        <v>2283124</v>
      </c>
      <c r="F463">
        <v>0.09</v>
      </c>
      <c r="G463">
        <v>25</v>
      </c>
      <c r="H463">
        <v>790</v>
      </c>
      <c r="I463">
        <v>15</v>
      </c>
      <c r="J463" s="1">
        <v>20987</v>
      </c>
      <c r="K463" s="24" t="s">
        <v>1772</v>
      </c>
      <c r="L463" s="7">
        <f>EV[[#This Row],[Current_Debt]]/EV[[#This Row],[Monthly_Income]]</f>
        <v>0.24314711402553468</v>
      </c>
      <c r="M463" t="s">
        <v>1786</v>
      </c>
    </row>
    <row r="464" spans="1:13" x14ac:dyDescent="0.3">
      <c r="A464">
        <v>463</v>
      </c>
      <c r="B464" t="s">
        <v>1733</v>
      </c>
      <c r="C464">
        <v>39</v>
      </c>
      <c r="D464">
        <v>16997</v>
      </c>
      <c r="E464" s="1">
        <v>1234473</v>
      </c>
      <c r="F464">
        <v>9.5000000000000001E-2</v>
      </c>
      <c r="G464">
        <v>10</v>
      </c>
      <c r="H464">
        <v>681</v>
      </c>
      <c r="I464">
        <v>9</v>
      </c>
      <c r="J464" s="1">
        <v>16655</v>
      </c>
      <c r="K464" s="24" t="s">
        <v>1772</v>
      </c>
      <c r="L464" s="7">
        <f>EV[[#This Row],[Current_Debt]]/EV[[#This Row],[Monthly_Income]]</f>
        <v>0.97987880214155443</v>
      </c>
      <c r="M464" t="s">
        <v>1786</v>
      </c>
    </row>
    <row r="465" spans="1:13" x14ac:dyDescent="0.3">
      <c r="A465">
        <v>464</v>
      </c>
      <c r="B465" t="s">
        <v>1734</v>
      </c>
      <c r="C465">
        <v>60</v>
      </c>
      <c r="D465">
        <v>45054</v>
      </c>
      <c r="E465" s="1">
        <v>869926</v>
      </c>
      <c r="F465">
        <v>0.109</v>
      </c>
      <c r="G465">
        <v>10</v>
      </c>
      <c r="H465">
        <v>774</v>
      </c>
      <c r="I465">
        <v>9</v>
      </c>
      <c r="J465" s="1">
        <v>29855</v>
      </c>
      <c r="K465" s="24" t="s">
        <v>1772</v>
      </c>
      <c r="L465" s="7">
        <f>EV[[#This Row],[Current_Debt]]/EV[[#This Row],[Monthly_Income]]</f>
        <v>0.66264926532605317</v>
      </c>
      <c r="M465" t="s">
        <v>1786</v>
      </c>
    </row>
    <row r="466" spans="1:13" x14ac:dyDescent="0.3">
      <c r="A466">
        <v>465</v>
      </c>
      <c r="B466" t="s">
        <v>1735</v>
      </c>
      <c r="C466">
        <v>33</v>
      </c>
      <c r="D466">
        <v>23420</v>
      </c>
      <c r="E466" s="1">
        <v>607753</v>
      </c>
      <c r="F466">
        <v>8.5999999999999993E-2</v>
      </c>
      <c r="G466">
        <v>15</v>
      </c>
      <c r="H466">
        <v>619</v>
      </c>
      <c r="I466">
        <v>1</v>
      </c>
      <c r="J466" s="1">
        <v>6542</v>
      </c>
      <c r="K466" s="24" t="s">
        <v>1773</v>
      </c>
      <c r="L466" s="7">
        <f>EV[[#This Row],[Current_Debt]]/EV[[#This Row],[Monthly_Income]]</f>
        <v>0.27933390264731001</v>
      </c>
      <c r="M466" t="s">
        <v>2291</v>
      </c>
    </row>
    <row r="467" spans="1:13" x14ac:dyDescent="0.3">
      <c r="A467">
        <v>466</v>
      </c>
      <c r="B467" t="s">
        <v>1736</v>
      </c>
      <c r="C467">
        <v>31</v>
      </c>
      <c r="D467">
        <v>87561</v>
      </c>
      <c r="E467" s="1">
        <v>917534</v>
      </c>
      <c r="F467">
        <v>0.112</v>
      </c>
      <c r="G467">
        <v>10</v>
      </c>
      <c r="H467">
        <v>763</v>
      </c>
      <c r="I467">
        <v>7</v>
      </c>
      <c r="J467" s="1">
        <v>35989</v>
      </c>
      <c r="K467" s="24" t="s">
        <v>1772</v>
      </c>
      <c r="L467" s="7">
        <f>EV[[#This Row],[Current_Debt]]/EV[[#This Row],[Monthly_Income]]</f>
        <v>0.41101632005116434</v>
      </c>
      <c r="M467" t="s">
        <v>1786</v>
      </c>
    </row>
    <row r="468" spans="1:13" x14ac:dyDescent="0.3">
      <c r="A468">
        <v>467</v>
      </c>
      <c r="B468" t="s">
        <v>1737</v>
      </c>
      <c r="C468">
        <v>32</v>
      </c>
      <c r="D468">
        <v>100183</v>
      </c>
      <c r="E468" s="1">
        <v>708020</v>
      </c>
      <c r="F468">
        <v>0.09</v>
      </c>
      <c r="G468">
        <v>10</v>
      </c>
      <c r="H468">
        <v>745</v>
      </c>
      <c r="I468">
        <v>11</v>
      </c>
      <c r="J468" s="1">
        <v>14583</v>
      </c>
      <c r="K468" s="24" t="s">
        <v>1774</v>
      </c>
      <c r="L468" s="7">
        <f>EV[[#This Row],[Current_Debt]]/EV[[#This Row],[Monthly_Income]]</f>
        <v>0.14556361857800226</v>
      </c>
      <c r="M468" t="s">
        <v>1785</v>
      </c>
    </row>
    <row r="469" spans="1:13" x14ac:dyDescent="0.3">
      <c r="A469">
        <v>468</v>
      </c>
      <c r="B469" t="s">
        <v>1738</v>
      </c>
      <c r="C469">
        <v>46</v>
      </c>
      <c r="D469">
        <v>80374</v>
      </c>
      <c r="E469" s="1">
        <v>951673</v>
      </c>
      <c r="F469">
        <v>9.8000000000000004E-2</v>
      </c>
      <c r="G469">
        <v>10</v>
      </c>
      <c r="H469">
        <v>733</v>
      </c>
      <c r="I469">
        <v>2</v>
      </c>
      <c r="J469" s="1">
        <v>12486</v>
      </c>
      <c r="K469" s="24" t="s">
        <v>1774</v>
      </c>
      <c r="L469" s="7">
        <f>EV[[#This Row],[Current_Debt]]/EV[[#This Row],[Monthly_Income]]</f>
        <v>0.1553487446189066</v>
      </c>
      <c r="M469" t="s">
        <v>1785</v>
      </c>
    </row>
    <row r="470" spans="1:13" x14ac:dyDescent="0.3">
      <c r="A470">
        <v>469</v>
      </c>
      <c r="B470" t="s">
        <v>1739</v>
      </c>
      <c r="C470">
        <v>63</v>
      </c>
      <c r="D470">
        <v>113181</v>
      </c>
      <c r="E470" s="1">
        <v>1916314</v>
      </c>
      <c r="F470">
        <v>0.1</v>
      </c>
      <c r="G470">
        <v>15</v>
      </c>
      <c r="H470">
        <v>647</v>
      </c>
      <c r="I470">
        <v>0</v>
      </c>
      <c r="J470" s="1">
        <v>13854</v>
      </c>
      <c r="K470" s="24" t="s">
        <v>1773</v>
      </c>
      <c r="L470" s="7">
        <f>EV[[#This Row],[Current_Debt]]/EV[[#This Row],[Monthly_Income]]</f>
        <v>0.12240570413762027</v>
      </c>
      <c r="M470" t="s">
        <v>2291</v>
      </c>
    </row>
    <row r="471" spans="1:13" x14ac:dyDescent="0.3">
      <c r="A471">
        <v>470</v>
      </c>
      <c r="B471" t="s">
        <v>1740</v>
      </c>
      <c r="C471">
        <v>55</v>
      </c>
      <c r="D471">
        <v>67653</v>
      </c>
      <c r="E471" s="1">
        <v>1922141</v>
      </c>
      <c r="F471">
        <v>0.112</v>
      </c>
      <c r="G471">
        <v>25</v>
      </c>
      <c r="H471">
        <v>625</v>
      </c>
      <c r="I471">
        <v>10</v>
      </c>
      <c r="J471" s="1">
        <v>4320</v>
      </c>
      <c r="K471" s="24" t="s">
        <v>1773</v>
      </c>
      <c r="L471" s="7">
        <f>EV[[#This Row],[Current_Debt]]/EV[[#This Row],[Monthly_Income]]</f>
        <v>6.3855261407476382E-2</v>
      </c>
      <c r="M471" t="s">
        <v>2291</v>
      </c>
    </row>
    <row r="472" spans="1:13" x14ac:dyDescent="0.3">
      <c r="A472">
        <v>471</v>
      </c>
      <c r="B472" t="s">
        <v>1741</v>
      </c>
      <c r="C472">
        <v>31</v>
      </c>
      <c r="D472">
        <v>96343</v>
      </c>
      <c r="E472" s="1">
        <v>2279316</v>
      </c>
      <c r="F472">
        <v>0.111</v>
      </c>
      <c r="G472">
        <v>15</v>
      </c>
      <c r="H472">
        <v>790</v>
      </c>
      <c r="I472">
        <v>5</v>
      </c>
      <c r="J472" s="1">
        <v>17551</v>
      </c>
      <c r="K472" s="24" t="s">
        <v>1772</v>
      </c>
      <c r="L472" s="7">
        <f>EV[[#This Row],[Current_Debt]]/EV[[#This Row],[Monthly_Income]]</f>
        <v>0.18217203118026218</v>
      </c>
      <c r="M472" t="s">
        <v>1786</v>
      </c>
    </row>
    <row r="473" spans="1:13" x14ac:dyDescent="0.3">
      <c r="A473">
        <v>472</v>
      </c>
      <c r="B473" t="s">
        <v>1742</v>
      </c>
      <c r="C473">
        <v>64</v>
      </c>
      <c r="D473">
        <v>77746</v>
      </c>
      <c r="E473" s="1">
        <v>1011939</v>
      </c>
      <c r="F473">
        <v>0.108</v>
      </c>
      <c r="G473">
        <v>25</v>
      </c>
      <c r="H473">
        <v>670</v>
      </c>
      <c r="I473">
        <v>11</v>
      </c>
      <c r="J473" s="1">
        <v>12735</v>
      </c>
      <c r="K473" s="24" t="s">
        <v>1772</v>
      </c>
      <c r="L473" s="7">
        <f>EV[[#This Row],[Current_Debt]]/EV[[#This Row],[Monthly_Income]]</f>
        <v>0.16380263936408304</v>
      </c>
      <c r="M473" t="s">
        <v>2292</v>
      </c>
    </row>
    <row r="474" spans="1:13" x14ac:dyDescent="0.3">
      <c r="A474">
        <v>473</v>
      </c>
      <c r="B474" t="s">
        <v>1743</v>
      </c>
      <c r="C474">
        <v>38</v>
      </c>
      <c r="D474">
        <v>78602</v>
      </c>
      <c r="E474" s="1">
        <v>1531336</v>
      </c>
      <c r="F474">
        <v>0.11899999999999999</v>
      </c>
      <c r="G474">
        <v>15</v>
      </c>
      <c r="H474">
        <v>797</v>
      </c>
      <c r="I474">
        <v>4</v>
      </c>
      <c r="J474" s="1">
        <v>43589</v>
      </c>
      <c r="K474" s="24" t="s">
        <v>1772</v>
      </c>
      <c r="L474" s="7">
        <f>EV[[#This Row],[Current_Debt]]/EV[[#This Row],[Monthly_Income]]</f>
        <v>0.55455331925396301</v>
      </c>
      <c r="M474" t="s">
        <v>1786</v>
      </c>
    </row>
    <row r="475" spans="1:13" x14ac:dyDescent="0.3">
      <c r="A475">
        <v>474</v>
      </c>
      <c r="B475" t="s">
        <v>1744</v>
      </c>
      <c r="C475">
        <v>23</v>
      </c>
      <c r="D475">
        <v>94674</v>
      </c>
      <c r="E475" s="1">
        <v>807644</v>
      </c>
      <c r="F475">
        <v>8.3000000000000004E-2</v>
      </c>
      <c r="G475">
        <v>20</v>
      </c>
      <c r="H475">
        <v>807</v>
      </c>
      <c r="I475">
        <v>9</v>
      </c>
      <c r="J475" s="1">
        <v>1524</v>
      </c>
      <c r="K475" s="25" t="s">
        <v>1773</v>
      </c>
      <c r="L475" s="7">
        <f>EV[[#This Row],[Current_Debt]]/EV[[#This Row],[Monthly_Income]]</f>
        <v>1.6097344571899361E-2</v>
      </c>
      <c r="M475" t="s">
        <v>1784</v>
      </c>
    </row>
    <row r="476" spans="1:13" x14ac:dyDescent="0.3">
      <c r="A476">
        <v>475</v>
      </c>
      <c r="B476" t="s">
        <v>1745</v>
      </c>
      <c r="C476">
        <v>21</v>
      </c>
      <c r="D476">
        <v>107196</v>
      </c>
      <c r="E476" s="1">
        <v>1909157</v>
      </c>
      <c r="F476">
        <v>0.1</v>
      </c>
      <c r="G476">
        <v>30</v>
      </c>
      <c r="H476">
        <v>683</v>
      </c>
      <c r="I476">
        <v>15</v>
      </c>
      <c r="J476" s="1">
        <v>28623</v>
      </c>
      <c r="K476" s="25" t="s">
        <v>1773</v>
      </c>
      <c r="L476" s="7">
        <f>EV[[#This Row],[Current_Debt]]/EV[[#This Row],[Monthly_Income]]</f>
        <v>0.26701556028210005</v>
      </c>
      <c r="M476" t="s">
        <v>1784</v>
      </c>
    </row>
    <row r="477" spans="1:13" x14ac:dyDescent="0.3">
      <c r="A477">
        <v>476</v>
      </c>
      <c r="B477" t="s">
        <v>1746</v>
      </c>
      <c r="C477">
        <v>61</v>
      </c>
      <c r="D477">
        <v>16661</v>
      </c>
      <c r="E477" s="1">
        <v>1790782</v>
      </c>
      <c r="F477">
        <v>9.8000000000000004E-2</v>
      </c>
      <c r="G477">
        <v>30</v>
      </c>
      <c r="H477">
        <v>652</v>
      </c>
      <c r="I477">
        <v>1</v>
      </c>
      <c r="J477" s="1">
        <v>49046</v>
      </c>
      <c r="K477" s="24" t="s">
        <v>1772</v>
      </c>
      <c r="L477" s="7">
        <f>EV[[#This Row],[Current_Debt]]/EV[[#This Row],[Monthly_Income]]</f>
        <v>2.9437608786987575</v>
      </c>
      <c r="M477" t="s">
        <v>2292</v>
      </c>
    </row>
    <row r="478" spans="1:13" x14ac:dyDescent="0.3">
      <c r="A478">
        <v>477</v>
      </c>
      <c r="B478" t="s">
        <v>1747</v>
      </c>
      <c r="C478">
        <v>58</v>
      </c>
      <c r="D478">
        <v>93394</v>
      </c>
      <c r="E478" s="1">
        <v>2460076</v>
      </c>
      <c r="F478">
        <v>0.1</v>
      </c>
      <c r="G478">
        <v>15</v>
      </c>
      <c r="H478">
        <v>784</v>
      </c>
      <c r="I478">
        <v>2</v>
      </c>
      <c r="J478" s="1">
        <v>46134</v>
      </c>
      <c r="K478" s="24" t="s">
        <v>1772</v>
      </c>
      <c r="L478" s="7">
        <f>EV[[#This Row],[Current_Debt]]/EV[[#This Row],[Monthly_Income]]</f>
        <v>0.49397177548878946</v>
      </c>
      <c r="M478" t="s">
        <v>1786</v>
      </c>
    </row>
    <row r="479" spans="1:13" x14ac:dyDescent="0.3">
      <c r="A479">
        <v>478</v>
      </c>
      <c r="B479" t="s">
        <v>1748</v>
      </c>
      <c r="C479">
        <v>21</v>
      </c>
      <c r="D479">
        <v>53756</v>
      </c>
      <c r="E479" s="1">
        <v>1075368</v>
      </c>
      <c r="F479">
        <v>8.7999999999999995E-2</v>
      </c>
      <c r="G479">
        <v>20</v>
      </c>
      <c r="H479">
        <v>759</v>
      </c>
      <c r="I479">
        <v>14</v>
      </c>
      <c r="J479" s="1">
        <v>18263</v>
      </c>
      <c r="K479" s="25" t="s">
        <v>1773</v>
      </c>
      <c r="L479" s="7">
        <f>EV[[#This Row],[Current_Debt]]/EV[[#This Row],[Monthly_Income]]</f>
        <v>0.33973881985266763</v>
      </c>
      <c r="M479" t="s">
        <v>1784</v>
      </c>
    </row>
    <row r="480" spans="1:13" x14ac:dyDescent="0.3">
      <c r="A480">
        <v>479</v>
      </c>
      <c r="B480" t="s">
        <v>1749</v>
      </c>
      <c r="C480">
        <v>27</v>
      </c>
      <c r="D480">
        <v>96035</v>
      </c>
      <c r="E480" s="1">
        <v>1404309</v>
      </c>
      <c r="F480">
        <v>0.10199999999999999</v>
      </c>
      <c r="G480">
        <v>20</v>
      </c>
      <c r="H480">
        <v>676</v>
      </c>
      <c r="I480">
        <v>6</v>
      </c>
      <c r="J480" s="1">
        <v>824</v>
      </c>
      <c r="K480" s="24" t="s">
        <v>1772</v>
      </c>
      <c r="L480" s="7">
        <f>EV[[#This Row],[Current_Debt]]/EV[[#This Row],[Monthly_Income]]</f>
        <v>8.5802051335450609E-3</v>
      </c>
      <c r="M480" t="s">
        <v>2292</v>
      </c>
    </row>
    <row r="481" spans="1:13" x14ac:dyDescent="0.3">
      <c r="A481">
        <v>480</v>
      </c>
      <c r="B481" t="s">
        <v>1750</v>
      </c>
      <c r="C481">
        <v>36</v>
      </c>
      <c r="D481">
        <v>40334</v>
      </c>
      <c r="E481" s="1">
        <v>1183633</v>
      </c>
      <c r="F481">
        <v>8.4000000000000005E-2</v>
      </c>
      <c r="G481">
        <v>20</v>
      </c>
      <c r="H481">
        <v>636</v>
      </c>
      <c r="I481">
        <v>3</v>
      </c>
      <c r="J481" s="1">
        <v>33814</v>
      </c>
      <c r="K481" s="24" t="s">
        <v>1773</v>
      </c>
      <c r="L481" s="7">
        <f>EV[[#This Row],[Current_Debt]]/EV[[#This Row],[Monthly_Income]]</f>
        <v>0.83834977934249022</v>
      </c>
      <c r="M481" t="s">
        <v>2291</v>
      </c>
    </row>
    <row r="482" spans="1:13" x14ac:dyDescent="0.3">
      <c r="A482">
        <v>481</v>
      </c>
      <c r="B482" t="s">
        <v>1751</v>
      </c>
      <c r="C482">
        <v>52</v>
      </c>
      <c r="D482">
        <v>32394</v>
      </c>
      <c r="E482" s="1">
        <v>2096516</v>
      </c>
      <c r="F482">
        <v>0.114</v>
      </c>
      <c r="G482">
        <v>10</v>
      </c>
      <c r="H482">
        <v>796</v>
      </c>
      <c r="I482">
        <v>5</v>
      </c>
      <c r="J482" s="1">
        <v>28968</v>
      </c>
      <c r="K482" s="24" t="s">
        <v>1772</v>
      </c>
      <c r="L482" s="7">
        <f>EV[[#This Row],[Current_Debt]]/EV[[#This Row],[Monthly_Income]]</f>
        <v>0.89423967401370619</v>
      </c>
      <c r="M482" t="s">
        <v>1786</v>
      </c>
    </row>
    <row r="483" spans="1:13" x14ac:dyDescent="0.3">
      <c r="A483">
        <v>482</v>
      </c>
      <c r="B483" t="s">
        <v>1752</v>
      </c>
      <c r="C483">
        <v>20</v>
      </c>
      <c r="D483">
        <v>45918</v>
      </c>
      <c r="E483" s="1">
        <v>1280253</v>
      </c>
      <c r="F483">
        <v>0.113</v>
      </c>
      <c r="G483">
        <v>30</v>
      </c>
      <c r="H483">
        <v>620</v>
      </c>
      <c r="I483">
        <v>1</v>
      </c>
      <c r="J483" s="1">
        <v>8898</v>
      </c>
      <c r="K483" s="25" t="s">
        <v>1773</v>
      </c>
      <c r="L483" s="7">
        <f>EV[[#This Row],[Current_Debt]]/EV[[#This Row],[Monthly_Income]]</f>
        <v>0.19378021690840194</v>
      </c>
      <c r="M483" t="s">
        <v>1784</v>
      </c>
    </row>
    <row r="484" spans="1:13" x14ac:dyDescent="0.3">
      <c r="A484">
        <v>483</v>
      </c>
      <c r="B484" t="s">
        <v>1753</v>
      </c>
      <c r="C484">
        <v>55</v>
      </c>
      <c r="D484">
        <v>64971</v>
      </c>
      <c r="E484" s="1">
        <v>2283616</v>
      </c>
      <c r="F484">
        <v>0.112</v>
      </c>
      <c r="G484">
        <v>20</v>
      </c>
      <c r="H484">
        <v>605</v>
      </c>
      <c r="I484">
        <v>8</v>
      </c>
      <c r="J484" s="1">
        <v>24544</v>
      </c>
      <c r="K484" s="24" t="s">
        <v>1773</v>
      </c>
      <c r="L484" s="7">
        <f>EV[[#This Row],[Current_Debt]]/EV[[#This Row],[Monthly_Income]]</f>
        <v>0.37776854288836559</v>
      </c>
      <c r="M484" t="s">
        <v>2291</v>
      </c>
    </row>
    <row r="485" spans="1:13" x14ac:dyDescent="0.3">
      <c r="A485">
        <v>484</v>
      </c>
      <c r="B485" t="s">
        <v>1754</v>
      </c>
      <c r="C485">
        <v>33</v>
      </c>
      <c r="D485">
        <v>28979</v>
      </c>
      <c r="E485" s="1">
        <v>522347</v>
      </c>
      <c r="F485">
        <v>0.10299999999999999</v>
      </c>
      <c r="G485">
        <v>25</v>
      </c>
      <c r="H485">
        <v>628</v>
      </c>
      <c r="I485">
        <v>12</v>
      </c>
      <c r="J485" s="1">
        <v>10911</v>
      </c>
      <c r="K485" s="24" t="s">
        <v>1773</v>
      </c>
      <c r="L485" s="7">
        <f>EV[[#This Row],[Current_Debt]]/EV[[#This Row],[Monthly_Income]]</f>
        <v>0.37651402739915113</v>
      </c>
      <c r="M485" t="s">
        <v>2291</v>
      </c>
    </row>
    <row r="486" spans="1:13" x14ac:dyDescent="0.3">
      <c r="A486">
        <v>485</v>
      </c>
      <c r="B486" t="s">
        <v>1755</v>
      </c>
      <c r="C486">
        <v>64</v>
      </c>
      <c r="D486">
        <v>65228</v>
      </c>
      <c r="E486" s="1">
        <v>1302617</v>
      </c>
      <c r="F486">
        <v>8.1000000000000003E-2</v>
      </c>
      <c r="G486">
        <v>20</v>
      </c>
      <c r="H486">
        <v>635</v>
      </c>
      <c r="I486">
        <v>11</v>
      </c>
      <c r="J486" s="1">
        <v>12440</v>
      </c>
      <c r="K486" s="24" t="s">
        <v>1773</v>
      </c>
      <c r="L486" s="7">
        <f>EV[[#This Row],[Current_Debt]]/EV[[#This Row],[Monthly_Income]]</f>
        <v>0.1907156435886429</v>
      </c>
      <c r="M486" t="s">
        <v>2291</v>
      </c>
    </row>
    <row r="487" spans="1:13" x14ac:dyDescent="0.3">
      <c r="A487">
        <v>486</v>
      </c>
      <c r="B487" t="s">
        <v>1756</v>
      </c>
      <c r="C487">
        <v>55</v>
      </c>
      <c r="D487">
        <v>58760</v>
      </c>
      <c r="E487" s="1">
        <v>2213881</v>
      </c>
      <c r="F487">
        <v>8.5999999999999993E-2</v>
      </c>
      <c r="G487">
        <v>25</v>
      </c>
      <c r="H487">
        <v>657</v>
      </c>
      <c r="I487">
        <v>9</v>
      </c>
      <c r="J487" s="1">
        <v>14793</v>
      </c>
      <c r="K487" s="24" t="s">
        <v>1772</v>
      </c>
      <c r="L487" s="7">
        <f>EV[[#This Row],[Current_Debt]]/EV[[#This Row],[Monthly_Income]]</f>
        <v>0.25175289312457455</v>
      </c>
      <c r="M487" t="s">
        <v>2292</v>
      </c>
    </row>
    <row r="488" spans="1:13" x14ac:dyDescent="0.3">
      <c r="A488">
        <v>487</v>
      </c>
      <c r="B488" t="s">
        <v>1757</v>
      </c>
      <c r="C488">
        <v>27</v>
      </c>
      <c r="D488">
        <v>20798</v>
      </c>
      <c r="E488" s="1">
        <v>1254781</v>
      </c>
      <c r="F488">
        <v>8.4000000000000005E-2</v>
      </c>
      <c r="G488">
        <v>10</v>
      </c>
      <c r="H488">
        <v>621</v>
      </c>
      <c r="I488">
        <v>6</v>
      </c>
      <c r="J488" s="1">
        <v>39743</v>
      </c>
      <c r="K488" s="24" t="s">
        <v>1773</v>
      </c>
      <c r="L488" s="7">
        <f>EV[[#This Row],[Current_Debt]]/EV[[#This Row],[Monthly_Income]]</f>
        <v>1.9109048947014136</v>
      </c>
      <c r="M488" t="s">
        <v>2291</v>
      </c>
    </row>
    <row r="489" spans="1:13" x14ac:dyDescent="0.3">
      <c r="A489">
        <v>488</v>
      </c>
      <c r="B489" t="s">
        <v>1758</v>
      </c>
      <c r="C489">
        <v>35</v>
      </c>
      <c r="D489">
        <v>105523</v>
      </c>
      <c r="E489" s="1">
        <v>977213</v>
      </c>
      <c r="F489">
        <v>0.10299999999999999</v>
      </c>
      <c r="G489">
        <v>15</v>
      </c>
      <c r="H489">
        <v>752</v>
      </c>
      <c r="I489">
        <v>1</v>
      </c>
      <c r="J489" s="1">
        <v>3170</v>
      </c>
      <c r="K489" s="24" t="s">
        <v>1772</v>
      </c>
      <c r="L489" s="7">
        <f>EV[[#This Row],[Current_Debt]]/EV[[#This Row],[Monthly_Income]]</f>
        <v>3.0040844176151171E-2</v>
      </c>
      <c r="M489" t="s">
        <v>1786</v>
      </c>
    </row>
    <row r="490" spans="1:13" x14ac:dyDescent="0.3">
      <c r="A490">
        <v>489</v>
      </c>
      <c r="B490" t="s">
        <v>1759</v>
      </c>
      <c r="C490">
        <v>21</v>
      </c>
      <c r="D490">
        <v>79524</v>
      </c>
      <c r="E490" s="1">
        <v>2057793</v>
      </c>
      <c r="F490">
        <v>9.5000000000000001E-2</v>
      </c>
      <c r="G490">
        <v>20</v>
      </c>
      <c r="H490">
        <v>677</v>
      </c>
      <c r="I490">
        <v>8</v>
      </c>
      <c r="J490" s="1">
        <v>22594</v>
      </c>
      <c r="K490" s="25" t="s">
        <v>1773</v>
      </c>
      <c r="L490" s="7">
        <f>EV[[#This Row],[Current_Debt]]/EV[[#This Row],[Monthly_Income]]</f>
        <v>0.2841154871485338</v>
      </c>
      <c r="M490" t="s">
        <v>1784</v>
      </c>
    </row>
    <row r="491" spans="1:13" x14ac:dyDescent="0.3">
      <c r="A491">
        <v>490</v>
      </c>
      <c r="B491" t="s">
        <v>1760</v>
      </c>
      <c r="C491">
        <v>20</v>
      </c>
      <c r="D491">
        <v>67321</v>
      </c>
      <c r="E491" s="1">
        <v>1130583</v>
      </c>
      <c r="F491">
        <v>9.4E-2</v>
      </c>
      <c r="G491">
        <v>15</v>
      </c>
      <c r="H491">
        <v>646</v>
      </c>
      <c r="I491">
        <v>1</v>
      </c>
      <c r="J491" s="1">
        <v>41267</v>
      </c>
      <c r="K491" s="25" t="s">
        <v>1773</v>
      </c>
      <c r="L491" s="7">
        <f>EV[[#This Row],[Current_Debt]]/EV[[#This Row],[Monthly_Income]]</f>
        <v>0.61298851769878637</v>
      </c>
      <c r="M491" t="s">
        <v>1784</v>
      </c>
    </row>
    <row r="492" spans="1:13" x14ac:dyDescent="0.3">
      <c r="A492">
        <v>491</v>
      </c>
      <c r="B492" t="s">
        <v>1761</v>
      </c>
      <c r="C492">
        <v>64</v>
      </c>
      <c r="D492">
        <v>99564</v>
      </c>
      <c r="E492" s="1">
        <v>1141405</v>
      </c>
      <c r="F492">
        <v>9.9000000000000005E-2</v>
      </c>
      <c r="G492">
        <v>10</v>
      </c>
      <c r="H492">
        <v>637</v>
      </c>
      <c r="I492">
        <v>3</v>
      </c>
      <c r="J492" s="1">
        <v>36058</v>
      </c>
      <c r="K492" s="24" t="s">
        <v>1773</v>
      </c>
      <c r="L492" s="7">
        <f>EV[[#This Row],[Current_Debt]]/EV[[#This Row],[Monthly_Income]]</f>
        <v>0.36215901329797917</v>
      </c>
      <c r="M492" t="s">
        <v>2291</v>
      </c>
    </row>
    <row r="493" spans="1:13" x14ac:dyDescent="0.3">
      <c r="A493">
        <v>492</v>
      </c>
      <c r="B493" t="s">
        <v>1762</v>
      </c>
      <c r="C493">
        <v>38</v>
      </c>
      <c r="D493">
        <v>71045</v>
      </c>
      <c r="E493" s="1">
        <v>994918</v>
      </c>
      <c r="F493">
        <v>0.11</v>
      </c>
      <c r="G493">
        <v>30</v>
      </c>
      <c r="H493">
        <v>693</v>
      </c>
      <c r="I493">
        <v>0</v>
      </c>
      <c r="J493" s="1">
        <v>15398</v>
      </c>
      <c r="K493" s="24" t="s">
        <v>1772</v>
      </c>
      <c r="L493" s="7">
        <f>EV[[#This Row],[Current_Debt]]/EV[[#This Row],[Monthly_Income]]</f>
        <v>0.21673587163065663</v>
      </c>
      <c r="M493" t="s">
        <v>1786</v>
      </c>
    </row>
    <row r="494" spans="1:13" x14ac:dyDescent="0.3">
      <c r="A494">
        <v>493</v>
      </c>
      <c r="B494" t="s">
        <v>1763</v>
      </c>
      <c r="C494">
        <v>25</v>
      </c>
      <c r="D494">
        <v>46846</v>
      </c>
      <c r="E494" s="1">
        <v>669814</v>
      </c>
      <c r="F494">
        <v>8.5999999999999993E-2</v>
      </c>
      <c r="G494">
        <v>20</v>
      </c>
      <c r="H494">
        <v>636</v>
      </c>
      <c r="I494">
        <v>13</v>
      </c>
      <c r="J494" s="1">
        <v>1723</v>
      </c>
      <c r="K494" s="24" t="s">
        <v>1773</v>
      </c>
      <c r="L494" s="7">
        <f>EV[[#This Row],[Current_Debt]]/EV[[#This Row],[Monthly_Income]]</f>
        <v>3.6780087947743671E-2</v>
      </c>
      <c r="M494" t="s">
        <v>2291</v>
      </c>
    </row>
    <row r="495" spans="1:13" x14ac:dyDescent="0.3">
      <c r="A495">
        <v>494</v>
      </c>
      <c r="B495" t="s">
        <v>1764</v>
      </c>
      <c r="C495">
        <v>49</v>
      </c>
      <c r="D495">
        <v>82241</v>
      </c>
      <c r="E495" s="1">
        <v>1329483</v>
      </c>
      <c r="F495">
        <v>0.09</v>
      </c>
      <c r="G495">
        <v>25</v>
      </c>
      <c r="H495">
        <v>664</v>
      </c>
      <c r="I495">
        <v>15</v>
      </c>
      <c r="J495" s="1">
        <v>21767</v>
      </c>
      <c r="K495" s="24" t="s">
        <v>1772</v>
      </c>
      <c r="L495" s="7">
        <f>EV[[#This Row],[Current_Debt]]/EV[[#This Row],[Monthly_Income]]</f>
        <v>0.26467333811602484</v>
      </c>
      <c r="M495" t="s">
        <v>2292</v>
      </c>
    </row>
    <row r="496" spans="1:13" x14ac:dyDescent="0.3">
      <c r="A496">
        <v>495</v>
      </c>
      <c r="B496" t="s">
        <v>1765</v>
      </c>
      <c r="C496">
        <v>26</v>
      </c>
      <c r="D496">
        <v>73852</v>
      </c>
      <c r="E496" s="1">
        <v>2058645</v>
      </c>
      <c r="F496">
        <v>0.1</v>
      </c>
      <c r="G496">
        <v>25</v>
      </c>
      <c r="H496">
        <v>809</v>
      </c>
      <c r="I496">
        <v>7</v>
      </c>
      <c r="J496" s="1">
        <v>36404</v>
      </c>
      <c r="K496" s="24" t="s">
        <v>1772</v>
      </c>
      <c r="L496" s="7">
        <f>EV[[#This Row],[Current_Debt]]/EV[[#This Row],[Monthly_Income]]</f>
        <v>0.4929318095650761</v>
      </c>
      <c r="M496" t="s">
        <v>1786</v>
      </c>
    </row>
    <row r="497" spans="1:13" x14ac:dyDescent="0.3">
      <c r="A497">
        <v>496</v>
      </c>
      <c r="B497" t="s">
        <v>1766</v>
      </c>
      <c r="C497">
        <v>65</v>
      </c>
      <c r="D497">
        <v>97890</v>
      </c>
      <c r="E497" s="1">
        <v>2381321</v>
      </c>
      <c r="F497">
        <v>9.1999999999999998E-2</v>
      </c>
      <c r="G497">
        <v>25</v>
      </c>
      <c r="H497">
        <v>826</v>
      </c>
      <c r="I497">
        <v>10</v>
      </c>
      <c r="J497" s="1">
        <v>48947</v>
      </c>
      <c r="K497" s="24" t="s">
        <v>1772</v>
      </c>
      <c r="L497" s="7">
        <f>EV[[#This Row],[Current_Debt]]/EV[[#This Row],[Monthly_Income]]</f>
        <v>0.50002043109612826</v>
      </c>
      <c r="M497" t="s">
        <v>1786</v>
      </c>
    </row>
    <row r="498" spans="1:13" x14ac:dyDescent="0.3">
      <c r="A498">
        <v>497</v>
      </c>
      <c r="B498" t="s">
        <v>1767</v>
      </c>
      <c r="C498">
        <v>27</v>
      </c>
      <c r="D498">
        <v>71780</v>
      </c>
      <c r="E498" s="1">
        <v>661456</v>
      </c>
      <c r="F498">
        <v>9.7000000000000003E-2</v>
      </c>
      <c r="G498">
        <v>20</v>
      </c>
      <c r="H498">
        <v>684</v>
      </c>
      <c r="I498">
        <v>5</v>
      </c>
      <c r="J498" s="1">
        <v>20656</v>
      </c>
      <c r="K498" s="24" t="s">
        <v>1772</v>
      </c>
      <c r="L498" s="7">
        <f>EV[[#This Row],[Current_Debt]]/EV[[#This Row],[Monthly_Income]]</f>
        <v>0.28776818055168568</v>
      </c>
      <c r="M498" t="s">
        <v>1786</v>
      </c>
    </row>
    <row r="499" spans="1:13" x14ac:dyDescent="0.3">
      <c r="A499">
        <v>498</v>
      </c>
      <c r="B499" t="s">
        <v>1768</v>
      </c>
      <c r="C499">
        <v>38</v>
      </c>
      <c r="D499">
        <v>94218</v>
      </c>
      <c r="E499" s="1">
        <v>2143382</v>
      </c>
      <c r="F499">
        <v>9.7000000000000003E-2</v>
      </c>
      <c r="G499">
        <v>25</v>
      </c>
      <c r="H499">
        <v>611</v>
      </c>
      <c r="I499">
        <v>1</v>
      </c>
      <c r="J499" s="1">
        <v>2866</v>
      </c>
      <c r="K499" s="24" t="s">
        <v>1773</v>
      </c>
      <c r="L499" s="7">
        <f>EV[[#This Row],[Current_Debt]]/EV[[#This Row],[Monthly_Income]]</f>
        <v>3.0418815937506633E-2</v>
      </c>
      <c r="M499" t="s">
        <v>2291</v>
      </c>
    </row>
    <row r="500" spans="1:13" x14ac:dyDescent="0.3">
      <c r="A500">
        <v>499</v>
      </c>
      <c r="B500" t="s">
        <v>1769</v>
      </c>
      <c r="C500">
        <v>21</v>
      </c>
      <c r="D500">
        <v>39580</v>
      </c>
      <c r="E500" s="1">
        <v>1163741</v>
      </c>
      <c r="F500">
        <v>9.8000000000000004E-2</v>
      </c>
      <c r="G500">
        <v>30</v>
      </c>
      <c r="H500">
        <v>840</v>
      </c>
      <c r="I500">
        <v>9</v>
      </c>
      <c r="J500" s="1">
        <v>40005</v>
      </c>
      <c r="K500" s="25" t="s">
        <v>1773</v>
      </c>
      <c r="L500" s="7">
        <f>EV[[#This Row],[Current_Debt]]/EV[[#This Row],[Monthly_Income]]</f>
        <v>1.0107377463365337</v>
      </c>
      <c r="M500" t="s">
        <v>1784</v>
      </c>
    </row>
    <row r="501" spans="1:13" x14ac:dyDescent="0.3">
      <c r="A501">
        <v>500</v>
      </c>
      <c r="B501" t="s">
        <v>1770</v>
      </c>
      <c r="C501">
        <v>35</v>
      </c>
      <c r="D501">
        <v>80486</v>
      </c>
      <c r="E501" s="1">
        <v>1395165</v>
      </c>
      <c r="F501">
        <v>0.115</v>
      </c>
      <c r="G501">
        <v>25</v>
      </c>
      <c r="H501">
        <v>621</v>
      </c>
      <c r="I501">
        <v>8</v>
      </c>
      <c r="J501" s="1">
        <v>7560</v>
      </c>
      <c r="K501" s="24" t="s">
        <v>1773</v>
      </c>
      <c r="L501" s="7">
        <f>EV[[#This Row],[Current_Debt]]/EV[[#This Row],[Monthly_Income]]</f>
        <v>9.3929379022438683E-2</v>
      </c>
      <c r="M501" t="s">
        <v>2291</v>
      </c>
    </row>
    <row r="502" spans="1:13" s="22" customFormat="1" x14ac:dyDescent="0.3">
      <c r="A502">
        <v>501</v>
      </c>
      <c r="B502" t="s">
        <v>2311</v>
      </c>
      <c r="C502">
        <v>34</v>
      </c>
      <c r="D502" s="27">
        <v>5041</v>
      </c>
      <c r="E502" s="1">
        <v>84669</v>
      </c>
      <c r="F502">
        <v>0.13300000000000001</v>
      </c>
      <c r="G502">
        <v>20</v>
      </c>
      <c r="H502">
        <v>582</v>
      </c>
      <c r="I502">
        <v>15</v>
      </c>
      <c r="J502" s="1">
        <v>28521</v>
      </c>
      <c r="K502" s="24" t="s">
        <v>1773</v>
      </c>
      <c r="L502" s="7">
        <f>EV[[#This Row],[Current_Debt]]/EV[[#This Row],[Monthly_Income]]</f>
        <v>5.6578059908748264</v>
      </c>
      <c r="M502" t="s">
        <v>2291</v>
      </c>
    </row>
    <row r="503" spans="1:13" s="22" customFormat="1" x14ac:dyDescent="0.3">
      <c r="A503">
        <v>502</v>
      </c>
      <c r="B503" t="s">
        <v>2312</v>
      </c>
      <c r="C503">
        <v>27</v>
      </c>
      <c r="D503" s="27">
        <v>7814</v>
      </c>
      <c r="E503" s="1">
        <v>477917</v>
      </c>
      <c r="F503">
        <v>5.3999999999999999E-2</v>
      </c>
      <c r="G503">
        <v>25</v>
      </c>
      <c r="H503">
        <v>771</v>
      </c>
      <c r="I503">
        <v>18</v>
      </c>
      <c r="J503" s="1">
        <v>29599</v>
      </c>
      <c r="K503" s="24" t="s">
        <v>1772</v>
      </c>
      <c r="L503" s="7">
        <f>EV[[#This Row],[Current_Debt]]/EV[[#This Row],[Monthly_Income]]</f>
        <v>3.787944714614794</v>
      </c>
      <c r="M503" t="s">
        <v>1786</v>
      </c>
    </row>
    <row r="504" spans="1:13" s="22" customFormat="1" x14ac:dyDescent="0.3">
      <c r="A504">
        <v>503</v>
      </c>
      <c r="B504" t="s">
        <v>2313</v>
      </c>
      <c r="C504">
        <v>55</v>
      </c>
      <c r="D504" s="27">
        <v>4885</v>
      </c>
      <c r="E504" s="1">
        <v>343008</v>
      </c>
      <c r="F504">
        <v>7.0999999999999994E-2</v>
      </c>
      <c r="G504">
        <v>15</v>
      </c>
      <c r="H504">
        <v>824</v>
      </c>
      <c r="I504">
        <v>5</v>
      </c>
      <c r="J504" s="1">
        <v>33946</v>
      </c>
      <c r="K504" s="24" t="s">
        <v>1772</v>
      </c>
      <c r="L504" s="7">
        <f>EV[[#This Row],[Current_Debt]]/EV[[#This Row],[Monthly_Income]]</f>
        <v>6.9490276356192426</v>
      </c>
      <c r="M504" t="s">
        <v>1786</v>
      </c>
    </row>
    <row r="505" spans="1:13" s="22" customFormat="1" x14ac:dyDescent="0.3">
      <c r="A505">
        <v>504</v>
      </c>
      <c r="B505" t="s">
        <v>2314</v>
      </c>
      <c r="C505">
        <v>65</v>
      </c>
      <c r="D505" s="27">
        <v>3434</v>
      </c>
      <c r="E505" s="1">
        <v>404012</v>
      </c>
      <c r="F505">
        <v>0.06</v>
      </c>
      <c r="G505">
        <v>30</v>
      </c>
      <c r="H505">
        <v>614</v>
      </c>
      <c r="I505">
        <v>17</v>
      </c>
      <c r="J505" s="1">
        <v>15280</v>
      </c>
      <c r="K505" s="24" t="s">
        <v>1773</v>
      </c>
      <c r="L505" s="7">
        <f>EV[[#This Row],[Current_Debt]]/EV[[#This Row],[Monthly_Income]]</f>
        <v>4.449621432731508</v>
      </c>
      <c r="M505" t="s">
        <v>2291</v>
      </c>
    </row>
    <row r="506" spans="1:13" s="22" customFormat="1" x14ac:dyDescent="0.3">
      <c r="A506">
        <v>505</v>
      </c>
      <c r="B506" t="s">
        <v>2315</v>
      </c>
      <c r="C506">
        <v>46</v>
      </c>
      <c r="D506" s="27">
        <v>8518</v>
      </c>
      <c r="E506" s="1">
        <v>171903</v>
      </c>
      <c r="F506">
        <v>0.14199999999999999</v>
      </c>
      <c r="G506">
        <v>20</v>
      </c>
      <c r="H506">
        <v>772</v>
      </c>
      <c r="I506">
        <v>15</v>
      </c>
      <c r="J506" s="1">
        <v>8970</v>
      </c>
      <c r="K506" s="24" t="s">
        <v>1774</v>
      </c>
      <c r="L506" s="7">
        <f>EV[[#This Row],[Current_Debt]]/EV[[#This Row],[Monthly_Income]]</f>
        <v>1.0530640995538858</v>
      </c>
      <c r="M506" t="s">
        <v>1785</v>
      </c>
    </row>
    <row r="507" spans="1:13" s="22" customFormat="1" x14ac:dyDescent="0.3">
      <c r="A507">
        <v>506</v>
      </c>
      <c r="B507" t="s">
        <v>2316</v>
      </c>
      <c r="C507">
        <v>45</v>
      </c>
      <c r="D507" s="27">
        <v>4582</v>
      </c>
      <c r="E507" s="1">
        <v>354160</v>
      </c>
      <c r="F507">
        <v>0.10299999999999999</v>
      </c>
      <c r="G507">
        <v>25</v>
      </c>
      <c r="H507">
        <v>797</v>
      </c>
      <c r="I507">
        <v>7</v>
      </c>
      <c r="J507" s="1">
        <v>44460</v>
      </c>
      <c r="K507" s="24" t="s">
        <v>1772</v>
      </c>
      <c r="L507" s="7">
        <f>EV[[#This Row],[Current_Debt]]/EV[[#This Row],[Monthly_Income]]</f>
        <v>9.7031863814927988</v>
      </c>
      <c r="M507" t="s">
        <v>1786</v>
      </c>
    </row>
    <row r="508" spans="1:13" s="22" customFormat="1" x14ac:dyDescent="0.3">
      <c r="A508">
        <v>507</v>
      </c>
      <c r="B508" t="s">
        <v>2317</v>
      </c>
      <c r="C508">
        <v>37</v>
      </c>
      <c r="D508" s="27">
        <v>10794</v>
      </c>
      <c r="E508" s="1">
        <v>481720</v>
      </c>
      <c r="F508">
        <v>0.14799999999999999</v>
      </c>
      <c r="G508">
        <v>20</v>
      </c>
      <c r="H508">
        <v>690</v>
      </c>
      <c r="I508">
        <v>14</v>
      </c>
      <c r="J508" s="1">
        <v>6089</v>
      </c>
      <c r="K508" s="24" t="s">
        <v>1774</v>
      </c>
      <c r="L508" s="7">
        <f>EV[[#This Row],[Current_Debt]]/EV[[#This Row],[Monthly_Income]]</f>
        <v>0.56410969056883453</v>
      </c>
      <c r="M508" t="s">
        <v>2290</v>
      </c>
    </row>
    <row r="509" spans="1:13" s="22" customFormat="1" x14ac:dyDescent="0.3">
      <c r="A509">
        <v>508</v>
      </c>
      <c r="B509" t="s">
        <v>2318</v>
      </c>
      <c r="C509">
        <v>42</v>
      </c>
      <c r="D509" s="27">
        <v>6520</v>
      </c>
      <c r="E509" s="1">
        <v>478480</v>
      </c>
      <c r="F509">
        <v>0.14499999999999999</v>
      </c>
      <c r="G509">
        <v>25</v>
      </c>
      <c r="H509">
        <v>582</v>
      </c>
      <c r="I509">
        <v>10</v>
      </c>
      <c r="J509" s="1">
        <v>36647</v>
      </c>
      <c r="K509" s="24" t="s">
        <v>1773</v>
      </c>
      <c r="L509" s="7">
        <f>EV[[#This Row],[Current_Debt]]/EV[[#This Row],[Monthly_Income]]</f>
        <v>5.6207055214723924</v>
      </c>
      <c r="M509" t="s">
        <v>2291</v>
      </c>
    </row>
    <row r="510" spans="1:13" s="22" customFormat="1" x14ac:dyDescent="0.3">
      <c r="A510">
        <v>509</v>
      </c>
      <c r="B510" t="s">
        <v>2319</v>
      </c>
      <c r="C510">
        <v>30</v>
      </c>
      <c r="D510" s="27">
        <v>3274</v>
      </c>
      <c r="E510" s="1">
        <v>410705</v>
      </c>
      <c r="F510">
        <v>0.125</v>
      </c>
      <c r="G510">
        <v>30</v>
      </c>
      <c r="H510">
        <v>721</v>
      </c>
      <c r="I510">
        <v>4</v>
      </c>
      <c r="J510" s="1">
        <v>7895</v>
      </c>
      <c r="K510" s="24" t="s">
        <v>1774</v>
      </c>
      <c r="L510" s="7">
        <f>EV[[#This Row],[Current_Debt]]/EV[[#This Row],[Monthly_Income]]</f>
        <v>2.4114233353695784</v>
      </c>
      <c r="M510" t="s">
        <v>1785</v>
      </c>
    </row>
    <row r="511" spans="1:13" s="22" customFormat="1" x14ac:dyDescent="0.3">
      <c r="A511">
        <v>510</v>
      </c>
      <c r="B511" t="s">
        <v>2320</v>
      </c>
      <c r="C511">
        <v>53</v>
      </c>
      <c r="D511" s="27">
        <v>6474</v>
      </c>
      <c r="E511" s="1">
        <v>252712</v>
      </c>
      <c r="F511">
        <v>0.13300000000000001</v>
      </c>
      <c r="G511">
        <v>25</v>
      </c>
      <c r="H511">
        <v>817</v>
      </c>
      <c r="I511">
        <v>14</v>
      </c>
      <c r="J511" s="1">
        <v>22476</v>
      </c>
      <c r="K511" s="24" t="s">
        <v>1772</v>
      </c>
      <c r="L511" s="7">
        <f>EV[[#This Row],[Current_Debt]]/EV[[#This Row],[Monthly_Income]]</f>
        <v>3.4717330861909175</v>
      </c>
      <c r="M511" t="s">
        <v>1786</v>
      </c>
    </row>
    <row r="512" spans="1:13" s="22" customFormat="1" x14ac:dyDescent="0.3">
      <c r="A512">
        <v>511</v>
      </c>
      <c r="B512" t="s">
        <v>2321</v>
      </c>
      <c r="C512">
        <v>40</v>
      </c>
      <c r="D512" s="27">
        <v>14609</v>
      </c>
      <c r="E512" s="1">
        <v>304559</v>
      </c>
      <c r="F512">
        <v>0.11600000000000001</v>
      </c>
      <c r="G512">
        <v>25</v>
      </c>
      <c r="H512">
        <v>809</v>
      </c>
      <c r="I512">
        <v>8</v>
      </c>
      <c r="J512" s="1">
        <v>14670</v>
      </c>
      <c r="K512" s="24" t="s">
        <v>1774</v>
      </c>
      <c r="L512" s="7">
        <f>EV[[#This Row],[Current_Debt]]/EV[[#This Row],[Monthly_Income]]</f>
        <v>1.0041755082483401</v>
      </c>
      <c r="M512" t="s">
        <v>1785</v>
      </c>
    </row>
    <row r="513" spans="1:13" s="22" customFormat="1" x14ac:dyDescent="0.3">
      <c r="A513">
        <v>512</v>
      </c>
      <c r="B513" t="s">
        <v>2322</v>
      </c>
      <c r="C513">
        <v>31</v>
      </c>
      <c r="D513" s="27">
        <v>3993</v>
      </c>
      <c r="E513" s="1">
        <v>259460</v>
      </c>
      <c r="F513">
        <v>7.9000000000000001E-2</v>
      </c>
      <c r="G513">
        <v>10</v>
      </c>
      <c r="H513">
        <v>624</v>
      </c>
      <c r="I513">
        <v>3</v>
      </c>
      <c r="J513" s="1">
        <v>636</v>
      </c>
      <c r="K513" s="24" t="s">
        <v>1773</v>
      </c>
      <c r="L513" s="7">
        <f>EV[[#This Row],[Current_Debt]]/EV[[#This Row],[Monthly_Income]]</f>
        <v>0.15927873779113449</v>
      </c>
      <c r="M513" t="s">
        <v>2291</v>
      </c>
    </row>
    <row r="514" spans="1:13" s="22" customFormat="1" x14ac:dyDescent="0.3">
      <c r="A514">
        <v>513</v>
      </c>
      <c r="B514" t="s">
        <v>2323</v>
      </c>
      <c r="C514">
        <v>46</v>
      </c>
      <c r="D514" s="27">
        <v>10993</v>
      </c>
      <c r="E514" s="1">
        <v>434462</v>
      </c>
      <c r="F514">
        <v>0.10199999999999999</v>
      </c>
      <c r="G514">
        <v>10</v>
      </c>
      <c r="H514">
        <v>813</v>
      </c>
      <c r="I514">
        <v>3</v>
      </c>
      <c r="J514" s="1">
        <v>33476</v>
      </c>
      <c r="K514" s="24" t="s">
        <v>1772</v>
      </c>
      <c r="L514" s="7">
        <f>EV[[#This Row],[Current_Debt]]/EV[[#This Row],[Monthly_Income]]</f>
        <v>3.0452105885563538</v>
      </c>
      <c r="M514" t="s">
        <v>1786</v>
      </c>
    </row>
    <row r="515" spans="1:13" s="22" customFormat="1" x14ac:dyDescent="0.3">
      <c r="A515">
        <v>514</v>
      </c>
      <c r="B515" t="s">
        <v>2324</v>
      </c>
      <c r="C515">
        <v>51</v>
      </c>
      <c r="D515" s="27">
        <v>10001</v>
      </c>
      <c r="E515" s="1">
        <v>380091</v>
      </c>
      <c r="F515">
        <v>0.14599999999999999</v>
      </c>
      <c r="G515">
        <v>10</v>
      </c>
      <c r="H515">
        <v>666</v>
      </c>
      <c r="I515">
        <v>10</v>
      </c>
      <c r="J515" s="1">
        <v>6982</v>
      </c>
      <c r="K515" s="24" t="s">
        <v>1772</v>
      </c>
      <c r="L515" s="7">
        <f>EV[[#This Row],[Current_Debt]]/EV[[#This Row],[Monthly_Income]]</f>
        <v>0.69813018698130191</v>
      </c>
      <c r="M515" t="s">
        <v>2292</v>
      </c>
    </row>
    <row r="516" spans="1:13" s="22" customFormat="1" x14ac:dyDescent="0.3">
      <c r="A516">
        <v>515</v>
      </c>
      <c r="B516" t="s">
        <v>2325</v>
      </c>
      <c r="C516">
        <v>38</v>
      </c>
      <c r="D516" s="27">
        <v>10758</v>
      </c>
      <c r="E516" s="1">
        <v>327694</v>
      </c>
      <c r="F516">
        <v>0.14599999999999999</v>
      </c>
      <c r="G516">
        <v>30</v>
      </c>
      <c r="H516">
        <v>810</v>
      </c>
      <c r="I516">
        <v>17</v>
      </c>
      <c r="J516" s="1">
        <v>849</v>
      </c>
      <c r="K516" s="24" t="s">
        <v>1774</v>
      </c>
      <c r="L516" s="7">
        <f>EV[[#This Row],[Current_Debt]]/EV[[#This Row],[Monthly_Income]]</f>
        <v>7.8918014500836589E-2</v>
      </c>
      <c r="M516" t="s">
        <v>1785</v>
      </c>
    </row>
    <row r="517" spans="1:13" s="22" customFormat="1" x14ac:dyDescent="0.3">
      <c r="A517">
        <v>516</v>
      </c>
      <c r="B517" t="s">
        <v>2326</v>
      </c>
      <c r="C517">
        <v>65</v>
      </c>
      <c r="D517" s="27">
        <v>3317</v>
      </c>
      <c r="E517" s="1">
        <v>123757</v>
      </c>
      <c r="F517">
        <v>6.6000000000000003E-2</v>
      </c>
      <c r="G517">
        <v>15</v>
      </c>
      <c r="H517">
        <v>740</v>
      </c>
      <c r="I517">
        <v>13</v>
      </c>
      <c r="J517" s="1">
        <v>9117</v>
      </c>
      <c r="K517" s="24" t="s">
        <v>1774</v>
      </c>
      <c r="L517" s="7">
        <f>EV[[#This Row],[Current_Debt]]/EV[[#This Row],[Monthly_Income]]</f>
        <v>2.7485679831172747</v>
      </c>
      <c r="M517" t="s">
        <v>1785</v>
      </c>
    </row>
    <row r="518" spans="1:13" s="22" customFormat="1" x14ac:dyDescent="0.3">
      <c r="A518">
        <v>517</v>
      </c>
      <c r="B518" t="s">
        <v>2327</v>
      </c>
      <c r="C518">
        <v>52</v>
      </c>
      <c r="D518" s="27">
        <v>13566</v>
      </c>
      <c r="E518" s="1">
        <v>134213</v>
      </c>
      <c r="F518">
        <v>0.127</v>
      </c>
      <c r="G518">
        <v>30</v>
      </c>
      <c r="H518">
        <v>613</v>
      </c>
      <c r="I518">
        <v>0</v>
      </c>
      <c r="J518" s="1">
        <v>665</v>
      </c>
      <c r="K518" s="24" t="s">
        <v>1773</v>
      </c>
      <c r="L518" s="7">
        <f>EV[[#This Row],[Current_Debt]]/EV[[#This Row],[Monthly_Income]]</f>
        <v>4.9019607843137254E-2</v>
      </c>
      <c r="M518" t="s">
        <v>2291</v>
      </c>
    </row>
    <row r="519" spans="1:13" s="22" customFormat="1" x14ac:dyDescent="0.3">
      <c r="A519">
        <v>518</v>
      </c>
      <c r="B519" t="s">
        <v>2328</v>
      </c>
      <c r="C519">
        <v>48</v>
      </c>
      <c r="D519" s="27">
        <v>13461</v>
      </c>
      <c r="E519" s="1">
        <v>345898</v>
      </c>
      <c r="F519">
        <v>0.14299999999999999</v>
      </c>
      <c r="G519">
        <v>20</v>
      </c>
      <c r="H519">
        <v>704</v>
      </c>
      <c r="I519">
        <v>4</v>
      </c>
      <c r="J519" s="1">
        <v>48563</v>
      </c>
      <c r="K519" s="24" t="s">
        <v>1772</v>
      </c>
      <c r="L519" s="7">
        <f>EV[[#This Row],[Current_Debt]]/EV[[#This Row],[Monthly_Income]]</f>
        <v>3.6076814501151473</v>
      </c>
      <c r="M519" t="s">
        <v>1786</v>
      </c>
    </row>
    <row r="520" spans="1:13" s="22" customFormat="1" x14ac:dyDescent="0.3">
      <c r="A520">
        <v>519</v>
      </c>
      <c r="B520" t="s">
        <v>2329</v>
      </c>
      <c r="C520">
        <v>41</v>
      </c>
      <c r="D520" s="27">
        <v>12894</v>
      </c>
      <c r="E520" s="1">
        <v>405651</v>
      </c>
      <c r="F520">
        <v>0.113</v>
      </c>
      <c r="G520">
        <v>10</v>
      </c>
      <c r="H520">
        <v>697</v>
      </c>
      <c r="I520">
        <v>11</v>
      </c>
      <c r="J520" s="1">
        <v>9138</v>
      </c>
      <c r="K520" s="24" t="s">
        <v>1774</v>
      </c>
      <c r="L520" s="7">
        <f>EV[[#This Row],[Current_Debt]]/EV[[#This Row],[Monthly_Income]]</f>
        <v>0.70870172173103774</v>
      </c>
      <c r="M520" t="s">
        <v>2290</v>
      </c>
    </row>
    <row r="521" spans="1:13" s="22" customFormat="1" x14ac:dyDescent="0.3">
      <c r="A521">
        <v>520</v>
      </c>
      <c r="B521" t="s">
        <v>2330</v>
      </c>
      <c r="C521">
        <v>62</v>
      </c>
      <c r="D521" s="27">
        <v>6279</v>
      </c>
      <c r="E521" s="1">
        <v>240676</v>
      </c>
      <c r="F521">
        <v>9.5000000000000001E-2</v>
      </c>
      <c r="G521">
        <v>25</v>
      </c>
      <c r="H521">
        <v>723</v>
      </c>
      <c r="I521">
        <v>10</v>
      </c>
      <c r="J521" s="1">
        <v>26836</v>
      </c>
      <c r="K521" s="24" t="s">
        <v>1772</v>
      </c>
      <c r="L521" s="7">
        <f>EV[[#This Row],[Current_Debt]]/EV[[#This Row],[Monthly_Income]]</f>
        <v>4.2739289695811431</v>
      </c>
      <c r="M521" t="s">
        <v>1786</v>
      </c>
    </row>
    <row r="522" spans="1:13" s="22" customFormat="1" x14ac:dyDescent="0.3">
      <c r="A522">
        <v>521</v>
      </c>
      <c r="B522" t="s">
        <v>2331</v>
      </c>
      <c r="C522">
        <v>51</v>
      </c>
      <c r="D522" s="27">
        <v>9371</v>
      </c>
      <c r="E522" s="1">
        <v>419375</v>
      </c>
      <c r="F522">
        <v>0.14699999999999999</v>
      </c>
      <c r="G522">
        <v>15</v>
      </c>
      <c r="H522">
        <v>829</v>
      </c>
      <c r="I522">
        <v>8</v>
      </c>
      <c r="J522" s="1">
        <v>23623</v>
      </c>
      <c r="K522" s="24" t="s">
        <v>1772</v>
      </c>
      <c r="L522" s="7">
        <f>EV[[#This Row],[Current_Debt]]/EV[[#This Row],[Monthly_Income]]</f>
        <v>2.5208622345534093</v>
      </c>
      <c r="M522" t="s">
        <v>1786</v>
      </c>
    </row>
    <row r="523" spans="1:13" s="22" customFormat="1" x14ac:dyDescent="0.3">
      <c r="A523">
        <v>522</v>
      </c>
      <c r="B523" t="s">
        <v>2332</v>
      </c>
      <c r="C523">
        <v>24</v>
      </c>
      <c r="D523" s="27">
        <v>10123</v>
      </c>
      <c r="E523" s="1">
        <v>179581</v>
      </c>
      <c r="F523">
        <v>0.114</v>
      </c>
      <c r="G523">
        <v>25</v>
      </c>
      <c r="H523">
        <v>774</v>
      </c>
      <c r="I523">
        <v>9</v>
      </c>
      <c r="J523" s="1">
        <v>25557</v>
      </c>
      <c r="K523" s="24" t="s">
        <v>1773</v>
      </c>
      <c r="L523" s="7">
        <f>EV[[#This Row],[Current_Debt]]/EV[[#This Row],[Monthly_Income]]</f>
        <v>2.5246468438210017</v>
      </c>
      <c r="M523" t="s">
        <v>1784</v>
      </c>
    </row>
    <row r="524" spans="1:13" s="22" customFormat="1" x14ac:dyDescent="0.3">
      <c r="A524">
        <v>523</v>
      </c>
      <c r="B524" t="s">
        <v>2333</v>
      </c>
      <c r="C524">
        <v>27</v>
      </c>
      <c r="D524" s="27">
        <v>8589</v>
      </c>
      <c r="E524" s="1">
        <v>71367</v>
      </c>
      <c r="F524">
        <v>6.7000000000000004E-2</v>
      </c>
      <c r="G524">
        <v>30</v>
      </c>
      <c r="H524">
        <v>611</v>
      </c>
      <c r="I524">
        <v>0</v>
      </c>
      <c r="J524" s="1">
        <v>42918</v>
      </c>
      <c r="K524" s="24" t="s">
        <v>1773</v>
      </c>
      <c r="L524" s="7">
        <f>EV[[#This Row],[Current_Debt]]/EV[[#This Row],[Monthly_Income]]</f>
        <v>4.9968564442892074</v>
      </c>
      <c r="M524" t="s">
        <v>2291</v>
      </c>
    </row>
    <row r="525" spans="1:13" s="22" customFormat="1" x14ac:dyDescent="0.3">
      <c r="A525">
        <v>524</v>
      </c>
      <c r="B525" t="s">
        <v>2334</v>
      </c>
      <c r="C525">
        <v>36</v>
      </c>
      <c r="D525" s="27">
        <v>12241</v>
      </c>
      <c r="E525" s="1">
        <v>479611</v>
      </c>
      <c r="F525">
        <v>8.5999999999999993E-2</v>
      </c>
      <c r="G525">
        <v>10</v>
      </c>
      <c r="H525">
        <v>680</v>
      </c>
      <c r="I525">
        <v>16</v>
      </c>
      <c r="J525" s="1">
        <v>24807</v>
      </c>
      <c r="K525" s="24" t="s">
        <v>1772</v>
      </c>
      <c r="L525" s="7">
        <f>EV[[#This Row],[Current_Debt]]/EV[[#This Row],[Monthly_Income]]</f>
        <v>2.0265501184543746</v>
      </c>
      <c r="M525" t="s">
        <v>1786</v>
      </c>
    </row>
    <row r="526" spans="1:13" s="22" customFormat="1" x14ac:dyDescent="0.3">
      <c r="A526">
        <v>525</v>
      </c>
      <c r="B526" t="s">
        <v>2335</v>
      </c>
      <c r="C526">
        <v>56</v>
      </c>
      <c r="D526" s="27">
        <v>12176</v>
      </c>
      <c r="E526" s="1">
        <v>51893</v>
      </c>
      <c r="F526">
        <v>7.9000000000000001E-2</v>
      </c>
      <c r="G526">
        <v>25</v>
      </c>
      <c r="H526">
        <v>810</v>
      </c>
      <c r="I526">
        <v>4</v>
      </c>
      <c r="J526" s="1">
        <v>45046</v>
      </c>
      <c r="K526" s="24" t="s">
        <v>1772</v>
      </c>
      <c r="L526" s="7">
        <f>EV[[#This Row],[Current_Debt]]/EV[[#This Row],[Monthly_Income]]</f>
        <v>3.6995729303547962</v>
      </c>
      <c r="M526" t="s">
        <v>1786</v>
      </c>
    </row>
    <row r="527" spans="1:13" s="22" customFormat="1" x14ac:dyDescent="0.3">
      <c r="A527">
        <v>526</v>
      </c>
      <c r="B527" t="s">
        <v>2336</v>
      </c>
      <c r="C527">
        <v>43</v>
      </c>
      <c r="D527" s="27">
        <v>11494</v>
      </c>
      <c r="E527" s="1">
        <v>319313</v>
      </c>
      <c r="F527">
        <v>9.4E-2</v>
      </c>
      <c r="G527">
        <v>15</v>
      </c>
      <c r="H527">
        <v>707</v>
      </c>
      <c r="I527">
        <v>19</v>
      </c>
      <c r="J527" s="1">
        <v>5393</v>
      </c>
      <c r="K527" s="24" t="s">
        <v>1774</v>
      </c>
      <c r="L527" s="7">
        <f>EV[[#This Row],[Current_Debt]]/EV[[#This Row],[Monthly_Income]]</f>
        <v>0.46920132242909346</v>
      </c>
      <c r="M527" t="s">
        <v>1785</v>
      </c>
    </row>
    <row r="528" spans="1:13" s="22" customFormat="1" x14ac:dyDescent="0.3">
      <c r="A528">
        <v>527</v>
      </c>
      <c r="B528" t="s">
        <v>2337</v>
      </c>
      <c r="C528">
        <v>43</v>
      </c>
      <c r="D528" s="27">
        <v>7372</v>
      </c>
      <c r="E528" s="1">
        <v>94598</v>
      </c>
      <c r="F528">
        <v>6.3E-2</v>
      </c>
      <c r="G528">
        <v>30</v>
      </c>
      <c r="H528">
        <v>797</v>
      </c>
      <c r="I528">
        <v>13</v>
      </c>
      <c r="J528" s="1">
        <v>44097</v>
      </c>
      <c r="K528" s="24" t="s">
        <v>1772</v>
      </c>
      <c r="L528" s="7">
        <f>EV[[#This Row],[Current_Debt]]/EV[[#This Row],[Monthly_Income]]</f>
        <v>5.9816874660878998</v>
      </c>
      <c r="M528" t="s">
        <v>1786</v>
      </c>
    </row>
    <row r="529" spans="1:13" s="22" customFormat="1" x14ac:dyDescent="0.3">
      <c r="A529">
        <v>528</v>
      </c>
      <c r="B529" t="s">
        <v>2338</v>
      </c>
      <c r="C529">
        <v>63</v>
      </c>
      <c r="D529" s="27">
        <v>5581</v>
      </c>
      <c r="E529" s="1">
        <v>253187</v>
      </c>
      <c r="F529">
        <v>0.10100000000000001</v>
      </c>
      <c r="G529">
        <v>25</v>
      </c>
      <c r="H529">
        <v>624</v>
      </c>
      <c r="I529">
        <v>19</v>
      </c>
      <c r="J529" s="1">
        <v>3945</v>
      </c>
      <c r="K529" s="24" t="s">
        <v>1773</v>
      </c>
      <c r="L529" s="7">
        <f>EV[[#This Row],[Current_Debt]]/EV[[#This Row],[Monthly_Income]]</f>
        <v>0.70686256943200143</v>
      </c>
      <c r="M529" t="s">
        <v>2291</v>
      </c>
    </row>
    <row r="530" spans="1:13" s="22" customFormat="1" x14ac:dyDescent="0.3">
      <c r="A530">
        <v>529</v>
      </c>
      <c r="B530" t="s">
        <v>2339</v>
      </c>
      <c r="C530">
        <v>65</v>
      </c>
      <c r="D530" s="27">
        <v>7894</v>
      </c>
      <c r="E530" s="1">
        <v>434395</v>
      </c>
      <c r="F530">
        <v>6.7000000000000004E-2</v>
      </c>
      <c r="G530">
        <v>20</v>
      </c>
      <c r="H530">
        <v>730</v>
      </c>
      <c r="I530">
        <v>14</v>
      </c>
      <c r="J530" s="1">
        <v>17006</v>
      </c>
      <c r="K530" s="24" t="s">
        <v>1772</v>
      </c>
      <c r="L530" s="7">
        <f>EV[[#This Row],[Current_Debt]]/EV[[#This Row],[Monthly_Income]]</f>
        <v>2.1542944008107425</v>
      </c>
      <c r="M530" t="s">
        <v>1786</v>
      </c>
    </row>
    <row r="531" spans="1:13" s="22" customFormat="1" x14ac:dyDescent="0.3">
      <c r="A531">
        <v>530</v>
      </c>
      <c r="B531" t="s">
        <v>2340</v>
      </c>
      <c r="C531">
        <v>35</v>
      </c>
      <c r="D531" s="27">
        <v>2796</v>
      </c>
      <c r="E531" s="1">
        <v>408649</v>
      </c>
      <c r="F531">
        <v>0.13400000000000001</v>
      </c>
      <c r="G531">
        <v>25</v>
      </c>
      <c r="H531">
        <v>841</v>
      </c>
      <c r="I531">
        <v>16</v>
      </c>
      <c r="J531" s="1">
        <v>27538</v>
      </c>
      <c r="K531" s="24" t="s">
        <v>1772</v>
      </c>
      <c r="L531" s="7">
        <f>EV[[#This Row],[Current_Debt]]/EV[[#This Row],[Monthly_Income]]</f>
        <v>9.8490701001430612</v>
      </c>
      <c r="M531" t="s">
        <v>1786</v>
      </c>
    </row>
    <row r="532" spans="1:13" s="22" customFormat="1" x14ac:dyDescent="0.3">
      <c r="A532">
        <v>531</v>
      </c>
      <c r="B532" t="s">
        <v>2341</v>
      </c>
      <c r="C532">
        <v>61</v>
      </c>
      <c r="D532" s="27">
        <v>6811</v>
      </c>
      <c r="E532" s="1">
        <v>90973</v>
      </c>
      <c r="F532">
        <v>8.8999999999999996E-2</v>
      </c>
      <c r="G532">
        <v>20</v>
      </c>
      <c r="H532">
        <v>733</v>
      </c>
      <c r="I532">
        <v>4</v>
      </c>
      <c r="J532" s="1">
        <v>21178</v>
      </c>
      <c r="K532" s="24" t="s">
        <v>1772</v>
      </c>
      <c r="L532" s="7">
        <f>EV[[#This Row],[Current_Debt]]/EV[[#This Row],[Monthly_Income]]</f>
        <v>3.1093818822493025</v>
      </c>
      <c r="M532" t="s">
        <v>1786</v>
      </c>
    </row>
    <row r="533" spans="1:13" s="22" customFormat="1" x14ac:dyDescent="0.3">
      <c r="A533">
        <v>532</v>
      </c>
      <c r="B533" t="s">
        <v>2342</v>
      </c>
      <c r="C533">
        <v>33</v>
      </c>
      <c r="D533" s="27">
        <v>6290</v>
      </c>
      <c r="E533" s="1">
        <v>257169</v>
      </c>
      <c r="F533">
        <v>0.123</v>
      </c>
      <c r="G533">
        <v>30</v>
      </c>
      <c r="H533">
        <v>769</v>
      </c>
      <c r="I533">
        <v>0</v>
      </c>
      <c r="J533" s="1">
        <v>1648</v>
      </c>
      <c r="K533" s="24" t="s">
        <v>1772</v>
      </c>
      <c r="L533" s="7">
        <f>EV[[#This Row],[Current_Debt]]/EV[[#This Row],[Monthly_Income]]</f>
        <v>0.26200317965023845</v>
      </c>
      <c r="M533" t="s">
        <v>1786</v>
      </c>
    </row>
    <row r="534" spans="1:13" s="22" customFormat="1" x14ac:dyDescent="0.3">
      <c r="A534">
        <v>533</v>
      </c>
      <c r="B534" t="s">
        <v>2343</v>
      </c>
      <c r="C534">
        <v>64</v>
      </c>
      <c r="D534" s="27">
        <v>12916</v>
      </c>
      <c r="E534" s="1">
        <v>472248</v>
      </c>
      <c r="F534">
        <v>8.2000000000000003E-2</v>
      </c>
      <c r="G534">
        <v>25</v>
      </c>
      <c r="H534">
        <v>669</v>
      </c>
      <c r="I534">
        <v>0</v>
      </c>
      <c r="J534" s="1">
        <v>5106</v>
      </c>
      <c r="K534" s="24" t="s">
        <v>1772</v>
      </c>
      <c r="L534" s="7">
        <f>EV[[#This Row],[Current_Debt]]/EV[[#This Row],[Monthly_Income]]</f>
        <v>0.39532362960668938</v>
      </c>
      <c r="M534" t="s">
        <v>2292</v>
      </c>
    </row>
    <row r="535" spans="1:13" s="22" customFormat="1" x14ac:dyDescent="0.3">
      <c r="A535">
        <v>534</v>
      </c>
      <c r="B535" t="s">
        <v>2344</v>
      </c>
      <c r="C535">
        <v>24</v>
      </c>
      <c r="D535" s="27">
        <v>7705</v>
      </c>
      <c r="E535" s="1">
        <v>439654</v>
      </c>
      <c r="F535">
        <v>9.4E-2</v>
      </c>
      <c r="G535">
        <v>30</v>
      </c>
      <c r="H535">
        <v>700</v>
      </c>
      <c r="I535">
        <v>3</v>
      </c>
      <c r="J535" s="1">
        <v>39267</v>
      </c>
      <c r="K535" s="24" t="s">
        <v>1773</v>
      </c>
      <c r="L535" s="7">
        <f>EV[[#This Row],[Current_Debt]]/EV[[#This Row],[Monthly_Income]]</f>
        <v>5.0963011031797532</v>
      </c>
      <c r="M535" t="s">
        <v>1784</v>
      </c>
    </row>
    <row r="536" spans="1:13" s="22" customFormat="1" x14ac:dyDescent="0.3">
      <c r="A536">
        <v>535</v>
      </c>
      <c r="B536" t="s">
        <v>2345</v>
      </c>
      <c r="C536">
        <v>39</v>
      </c>
      <c r="D536" s="27">
        <v>7670</v>
      </c>
      <c r="E536" s="1">
        <v>321327</v>
      </c>
      <c r="F536">
        <v>8.5999999999999993E-2</v>
      </c>
      <c r="G536">
        <v>30</v>
      </c>
      <c r="H536">
        <v>767</v>
      </c>
      <c r="I536">
        <v>15</v>
      </c>
      <c r="J536" s="1">
        <v>9676</v>
      </c>
      <c r="K536" s="24" t="s">
        <v>1774</v>
      </c>
      <c r="L536" s="7">
        <f>EV[[#This Row],[Current_Debt]]/EV[[#This Row],[Monthly_Income]]</f>
        <v>1.2615384615384615</v>
      </c>
      <c r="M536" t="s">
        <v>1785</v>
      </c>
    </row>
    <row r="537" spans="1:13" s="22" customFormat="1" x14ac:dyDescent="0.3">
      <c r="A537">
        <v>536</v>
      </c>
      <c r="B537" t="s">
        <v>2346</v>
      </c>
      <c r="C537">
        <v>29</v>
      </c>
      <c r="D537" s="27">
        <v>6580</v>
      </c>
      <c r="E537" s="1">
        <v>359592</v>
      </c>
      <c r="F537">
        <v>7.4999999999999997E-2</v>
      </c>
      <c r="G537">
        <v>10</v>
      </c>
      <c r="H537">
        <v>804</v>
      </c>
      <c r="I537">
        <v>13</v>
      </c>
      <c r="J537" s="1">
        <v>44880</v>
      </c>
      <c r="K537" s="24" t="s">
        <v>1772</v>
      </c>
      <c r="L537" s="7">
        <f>EV[[#This Row],[Current_Debt]]/EV[[#This Row],[Monthly_Income]]</f>
        <v>6.8206686930091189</v>
      </c>
      <c r="M537" t="s">
        <v>1786</v>
      </c>
    </row>
    <row r="538" spans="1:13" s="22" customFormat="1" x14ac:dyDescent="0.3">
      <c r="A538">
        <v>537</v>
      </c>
      <c r="B538" t="s">
        <v>2347</v>
      </c>
      <c r="C538">
        <v>56</v>
      </c>
      <c r="D538" s="27">
        <v>6911</v>
      </c>
      <c r="E538" s="1">
        <v>385488</v>
      </c>
      <c r="F538">
        <v>6.4000000000000001E-2</v>
      </c>
      <c r="G538">
        <v>20</v>
      </c>
      <c r="H538">
        <v>605</v>
      </c>
      <c r="I538">
        <v>3</v>
      </c>
      <c r="J538" s="1">
        <v>14524</v>
      </c>
      <c r="K538" s="24" t="s">
        <v>1773</v>
      </c>
      <c r="L538" s="7">
        <f>EV[[#This Row],[Current_Debt]]/EV[[#This Row],[Monthly_Income]]</f>
        <v>2.1015771957748517</v>
      </c>
      <c r="M538" t="s">
        <v>2291</v>
      </c>
    </row>
    <row r="539" spans="1:13" s="22" customFormat="1" x14ac:dyDescent="0.3">
      <c r="A539">
        <v>538</v>
      </c>
      <c r="B539" t="s">
        <v>2348</v>
      </c>
      <c r="C539">
        <v>30</v>
      </c>
      <c r="D539" s="27">
        <v>10795</v>
      </c>
      <c r="E539" s="1">
        <v>337520</v>
      </c>
      <c r="F539">
        <v>9.9000000000000005E-2</v>
      </c>
      <c r="G539">
        <v>20</v>
      </c>
      <c r="H539">
        <v>734</v>
      </c>
      <c r="I539">
        <v>5</v>
      </c>
      <c r="J539" s="1">
        <v>34968</v>
      </c>
      <c r="K539" s="24" t="s">
        <v>1772</v>
      </c>
      <c r="L539" s="7">
        <f>EV[[#This Row],[Current_Debt]]/EV[[#This Row],[Monthly_Income]]</f>
        <v>3.2392774432607689</v>
      </c>
      <c r="M539" t="s">
        <v>1786</v>
      </c>
    </row>
    <row r="540" spans="1:13" s="22" customFormat="1" x14ac:dyDescent="0.3">
      <c r="A540">
        <v>539</v>
      </c>
      <c r="B540" t="s">
        <v>2349</v>
      </c>
      <c r="C540">
        <v>64</v>
      </c>
      <c r="D540" s="27">
        <v>14757</v>
      </c>
      <c r="E540" s="1">
        <v>320402</v>
      </c>
      <c r="F540">
        <v>0.05</v>
      </c>
      <c r="G540">
        <v>10</v>
      </c>
      <c r="H540">
        <v>748</v>
      </c>
      <c r="I540">
        <v>16</v>
      </c>
      <c r="J540" s="1">
        <v>41425</v>
      </c>
      <c r="K540" s="24" t="s">
        <v>1772</v>
      </c>
      <c r="L540" s="7">
        <f>EV[[#This Row],[Current_Debt]]/EV[[#This Row],[Monthly_Income]]</f>
        <v>2.8071423731110658</v>
      </c>
      <c r="M540" t="s">
        <v>1786</v>
      </c>
    </row>
    <row r="541" spans="1:13" s="22" customFormat="1" x14ac:dyDescent="0.3">
      <c r="A541">
        <v>540</v>
      </c>
      <c r="B541" t="s">
        <v>2350</v>
      </c>
      <c r="C541">
        <v>65</v>
      </c>
      <c r="D541" s="27">
        <v>10769</v>
      </c>
      <c r="E541" s="1">
        <v>280707</v>
      </c>
      <c r="F541">
        <v>0.14899999999999999</v>
      </c>
      <c r="G541">
        <v>30</v>
      </c>
      <c r="H541">
        <v>846</v>
      </c>
      <c r="I541">
        <v>10</v>
      </c>
      <c r="J541" s="1">
        <v>12048</v>
      </c>
      <c r="K541" s="24" t="s">
        <v>1774</v>
      </c>
      <c r="L541" s="7">
        <f>EV[[#This Row],[Current_Debt]]/EV[[#This Row],[Monthly_Income]]</f>
        <v>1.1187668307178011</v>
      </c>
      <c r="M541" t="s">
        <v>1785</v>
      </c>
    </row>
    <row r="542" spans="1:13" s="22" customFormat="1" x14ac:dyDescent="0.3">
      <c r="A542">
        <v>541</v>
      </c>
      <c r="B542" t="s">
        <v>2351</v>
      </c>
      <c r="C542">
        <v>29</v>
      </c>
      <c r="D542" s="27">
        <v>13960</v>
      </c>
      <c r="E542" s="1">
        <v>445945</v>
      </c>
      <c r="F542">
        <v>0.14099999999999999</v>
      </c>
      <c r="G542">
        <v>10</v>
      </c>
      <c r="H542">
        <v>829</v>
      </c>
      <c r="I542">
        <v>0</v>
      </c>
      <c r="J542" s="1">
        <v>8942</v>
      </c>
      <c r="K542" s="24" t="s">
        <v>1772</v>
      </c>
      <c r="L542" s="7">
        <f>EV[[#This Row],[Current_Debt]]/EV[[#This Row],[Monthly_Income]]</f>
        <v>0.64054441260744988</v>
      </c>
      <c r="M542" t="s">
        <v>1786</v>
      </c>
    </row>
    <row r="543" spans="1:13" s="22" customFormat="1" x14ac:dyDescent="0.3">
      <c r="A543">
        <v>542</v>
      </c>
      <c r="B543" t="s">
        <v>2352</v>
      </c>
      <c r="C543">
        <v>51</v>
      </c>
      <c r="D543" s="27">
        <v>3947</v>
      </c>
      <c r="E543" s="1">
        <v>92052</v>
      </c>
      <c r="F543">
        <v>0.128</v>
      </c>
      <c r="G543">
        <v>30</v>
      </c>
      <c r="H543">
        <v>812</v>
      </c>
      <c r="I543">
        <v>0</v>
      </c>
      <c r="J543" s="1">
        <v>11729</v>
      </c>
      <c r="K543" s="24" t="s">
        <v>1772</v>
      </c>
      <c r="L543" s="7">
        <f>EV[[#This Row],[Current_Debt]]/EV[[#This Row],[Monthly_Income]]</f>
        <v>2.9716240182417026</v>
      </c>
      <c r="M543" t="s">
        <v>1786</v>
      </c>
    </row>
    <row r="544" spans="1:13" s="22" customFormat="1" x14ac:dyDescent="0.3">
      <c r="A544">
        <v>543</v>
      </c>
      <c r="B544" t="s">
        <v>2353</v>
      </c>
      <c r="C544">
        <v>35</v>
      </c>
      <c r="D544" s="27">
        <v>4100</v>
      </c>
      <c r="E544" s="1">
        <v>449114</v>
      </c>
      <c r="F544">
        <v>8.3000000000000004E-2</v>
      </c>
      <c r="G544">
        <v>20</v>
      </c>
      <c r="H544">
        <v>620</v>
      </c>
      <c r="I544">
        <v>18</v>
      </c>
      <c r="J544" s="1">
        <v>16809</v>
      </c>
      <c r="K544" s="24" t="s">
        <v>1773</v>
      </c>
      <c r="L544" s="7">
        <f>EV[[#This Row],[Current_Debt]]/EV[[#This Row],[Monthly_Income]]</f>
        <v>4.0997560975609755</v>
      </c>
      <c r="M544" t="s">
        <v>2291</v>
      </c>
    </row>
    <row r="545" spans="1:13" s="22" customFormat="1" x14ac:dyDescent="0.3">
      <c r="A545">
        <v>544</v>
      </c>
      <c r="B545" t="s">
        <v>2354</v>
      </c>
      <c r="C545">
        <v>36</v>
      </c>
      <c r="D545" s="27">
        <v>14984</v>
      </c>
      <c r="E545" s="1">
        <v>92395</v>
      </c>
      <c r="F545">
        <v>6.8000000000000005E-2</v>
      </c>
      <c r="G545">
        <v>30</v>
      </c>
      <c r="H545">
        <v>728</v>
      </c>
      <c r="I545">
        <v>7</v>
      </c>
      <c r="J545" s="1">
        <v>34895</v>
      </c>
      <c r="K545" s="24" t="s">
        <v>1772</v>
      </c>
      <c r="L545" s="7">
        <f>EV[[#This Row],[Current_Debt]]/EV[[#This Row],[Monthly_Income]]</f>
        <v>2.3288174052322477</v>
      </c>
      <c r="M545" t="s">
        <v>1786</v>
      </c>
    </row>
    <row r="546" spans="1:13" s="22" customFormat="1" x14ac:dyDescent="0.3">
      <c r="A546">
        <v>545</v>
      </c>
      <c r="B546" t="s">
        <v>2355</v>
      </c>
      <c r="C546">
        <v>55</v>
      </c>
      <c r="D546" s="27">
        <v>2645</v>
      </c>
      <c r="E546" s="1">
        <v>221367</v>
      </c>
      <c r="F546">
        <v>0.10199999999999999</v>
      </c>
      <c r="G546">
        <v>25</v>
      </c>
      <c r="H546">
        <v>791</v>
      </c>
      <c r="I546">
        <v>5</v>
      </c>
      <c r="J546" s="1">
        <v>16165</v>
      </c>
      <c r="K546" s="24" t="s">
        <v>1772</v>
      </c>
      <c r="L546" s="7">
        <f>EV[[#This Row],[Current_Debt]]/EV[[#This Row],[Monthly_Income]]</f>
        <v>6.1115311909262759</v>
      </c>
      <c r="M546" t="s">
        <v>1786</v>
      </c>
    </row>
    <row r="547" spans="1:13" s="22" customFormat="1" x14ac:dyDescent="0.3">
      <c r="A547">
        <v>546</v>
      </c>
      <c r="B547" t="s">
        <v>2356</v>
      </c>
      <c r="C547">
        <v>37</v>
      </c>
      <c r="D547" s="27">
        <v>8390</v>
      </c>
      <c r="E547" s="1">
        <v>288771</v>
      </c>
      <c r="F547">
        <v>8.4000000000000005E-2</v>
      </c>
      <c r="G547">
        <v>20</v>
      </c>
      <c r="H547">
        <v>683</v>
      </c>
      <c r="I547">
        <v>0</v>
      </c>
      <c r="J547" s="1">
        <v>23845</v>
      </c>
      <c r="K547" s="24" t="s">
        <v>1772</v>
      </c>
      <c r="L547" s="7">
        <f>EV[[#This Row],[Current_Debt]]/EV[[#This Row],[Monthly_Income]]</f>
        <v>2.8420738974970203</v>
      </c>
      <c r="M547" t="s">
        <v>1786</v>
      </c>
    </row>
    <row r="548" spans="1:13" s="22" customFormat="1" x14ac:dyDescent="0.3">
      <c r="A548">
        <v>547</v>
      </c>
      <c r="B548" t="s">
        <v>2357</v>
      </c>
      <c r="C548">
        <v>32</v>
      </c>
      <c r="D548" s="27">
        <v>2545</v>
      </c>
      <c r="E548" s="1">
        <v>59162</v>
      </c>
      <c r="F548">
        <v>0.112</v>
      </c>
      <c r="G548">
        <v>30</v>
      </c>
      <c r="H548">
        <v>803</v>
      </c>
      <c r="I548">
        <v>0</v>
      </c>
      <c r="J548" s="1">
        <v>972</v>
      </c>
      <c r="K548" s="24" t="s">
        <v>1772</v>
      </c>
      <c r="L548" s="7">
        <f>EV[[#This Row],[Current_Debt]]/EV[[#This Row],[Monthly_Income]]</f>
        <v>0.38192534381139487</v>
      </c>
      <c r="M548" t="s">
        <v>1786</v>
      </c>
    </row>
    <row r="549" spans="1:13" s="22" customFormat="1" x14ac:dyDescent="0.3">
      <c r="A549">
        <v>548</v>
      </c>
      <c r="B549" t="s">
        <v>2358</v>
      </c>
      <c r="C549">
        <v>37</v>
      </c>
      <c r="D549" s="27">
        <v>9433</v>
      </c>
      <c r="E549" s="1">
        <v>219825</v>
      </c>
      <c r="F549">
        <v>0.107</v>
      </c>
      <c r="G549">
        <v>15</v>
      </c>
      <c r="H549">
        <v>674</v>
      </c>
      <c r="I549">
        <v>7</v>
      </c>
      <c r="J549" s="1">
        <v>24054</v>
      </c>
      <c r="K549" s="24" t="s">
        <v>1772</v>
      </c>
      <c r="L549" s="7">
        <f>EV[[#This Row],[Current_Debt]]/EV[[#This Row],[Monthly_Income]]</f>
        <v>2.5499840983780344</v>
      </c>
      <c r="M549" t="s">
        <v>2292</v>
      </c>
    </row>
    <row r="550" spans="1:13" s="22" customFormat="1" x14ac:dyDescent="0.3">
      <c r="A550">
        <v>549</v>
      </c>
      <c r="B550" t="s">
        <v>2359</v>
      </c>
      <c r="C550">
        <v>23</v>
      </c>
      <c r="D550" s="27">
        <v>9812</v>
      </c>
      <c r="E550" s="1">
        <v>434140</v>
      </c>
      <c r="F550">
        <v>7.5999999999999998E-2</v>
      </c>
      <c r="G550">
        <v>20</v>
      </c>
      <c r="H550">
        <v>745</v>
      </c>
      <c r="I550">
        <v>1</v>
      </c>
      <c r="J550" s="1">
        <v>45620</v>
      </c>
      <c r="K550" s="24" t="s">
        <v>1773</v>
      </c>
      <c r="L550" s="7">
        <f>EV[[#This Row],[Current_Debt]]/EV[[#This Row],[Monthly_Income]]</f>
        <v>4.6494088870770485</v>
      </c>
      <c r="M550" t="s">
        <v>1784</v>
      </c>
    </row>
    <row r="551" spans="1:13" s="22" customFormat="1" x14ac:dyDescent="0.3">
      <c r="A551">
        <v>550</v>
      </c>
      <c r="B551" t="s">
        <v>2360</v>
      </c>
      <c r="C551">
        <v>23</v>
      </c>
      <c r="D551" s="27">
        <v>6888</v>
      </c>
      <c r="E551" s="1">
        <v>388872</v>
      </c>
      <c r="F551">
        <v>8.5000000000000006E-2</v>
      </c>
      <c r="G551">
        <v>25</v>
      </c>
      <c r="H551">
        <v>612</v>
      </c>
      <c r="I551">
        <v>15</v>
      </c>
      <c r="J551" s="1">
        <v>36794</v>
      </c>
      <c r="K551" s="24" t="s">
        <v>1773</v>
      </c>
      <c r="L551" s="7">
        <f>EV[[#This Row],[Current_Debt]]/EV[[#This Row],[Monthly_Income]]</f>
        <v>5.3417537746806039</v>
      </c>
      <c r="M551" t="s">
        <v>1784</v>
      </c>
    </row>
    <row r="552" spans="1:13" s="22" customFormat="1" x14ac:dyDescent="0.3">
      <c r="A552">
        <v>551</v>
      </c>
      <c r="B552" t="s">
        <v>2362</v>
      </c>
      <c r="C552">
        <v>55</v>
      </c>
      <c r="D552" s="27">
        <v>13534</v>
      </c>
      <c r="E552" s="1">
        <v>385889</v>
      </c>
      <c r="F552">
        <v>5.6000000000000001E-2</v>
      </c>
      <c r="G552">
        <v>15</v>
      </c>
      <c r="H552">
        <v>834</v>
      </c>
      <c r="I552">
        <v>3</v>
      </c>
      <c r="J552" s="1">
        <v>24702</v>
      </c>
      <c r="K552" s="24" t="s">
        <v>1772</v>
      </c>
      <c r="L552" s="7">
        <f>EV[[#This Row],[Current_Debt]]/EV[[#This Row],[Monthly_Income]]</f>
        <v>1.8251810255652432</v>
      </c>
      <c r="M552" t="s">
        <v>1786</v>
      </c>
    </row>
    <row r="553" spans="1:13" s="22" customFormat="1" x14ac:dyDescent="0.3">
      <c r="A553">
        <v>552</v>
      </c>
      <c r="B553" t="s">
        <v>2363</v>
      </c>
      <c r="C553">
        <v>38</v>
      </c>
      <c r="D553" s="27">
        <v>5559</v>
      </c>
      <c r="E553" s="1">
        <v>478480</v>
      </c>
      <c r="F553">
        <v>0.126</v>
      </c>
      <c r="G553">
        <v>25</v>
      </c>
      <c r="H553">
        <v>844</v>
      </c>
      <c r="I553">
        <v>11</v>
      </c>
      <c r="J553" s="1">
        <v>49672</v>
      </c>
      <c r="K553" s="24" t="s">
        <v>1772</v>
      </c>
      <c r="L553" s="7">
        <f>EV[[#This Row],[Current_Debt]]/EV[[#This Row],[Monthly_Income]]</f>
        <v>8.9354200395754635</v>
      </c>
      <c r="M553" t="s">
        <v>1786</v>
      </c>
    </row>
    <row r="554" spans="1:13" s="22" customFormat="1" x14ac:dyDescent="0.3">
      <c r="A554">
        <v>553</v>
      </c>
      <c r="B554" t="s">
        <v>2364</v>
      </c>
      <c r="C554">
        <v>46</v>
      </c>
      <c r="D554" s="27">
        <v>14602</v>
      </c>
      <c r="E554" s="1">
        <v>205597</v>
      </c>
      <c r="F554">
        <v>0.114</v>
      </c>
      <c r="G554">
        <v>15</v>
      </c>
      <c r="H554">
        <v>791</v>
      </c>
      <c r="I554">
        <v>18</v>
      </c>
      <c r="J554" s="1">
        <v>23035</v>
      </c>
      <c r="K554" s="24" t="s">
        <v>1772</v>
      </c>
      <c r="L554" s="7">
        <f>EV[[#This Row],[Current_Debt]]/EV[[#This Row],[Monthly_Income]]</f>
        <v>1.5775236269004247</v>
      </c>
      <c r="M554" t="s">
        <v>1786</v>
      </c>
    </row>
    <row r="555" spans="1:13" s="22" customFormat="1" x14ac:dyDescent="0.3">
      <c r="A555">
        <v>554</v>
      </c>
      <c r="B555" t="s">
        <v>2365</v>
      </c>
      <c r="C555">
        <v>29</v>
      </c>
      <c r="D555" s="27">
        <v>6264</v>
      </c>
      <c r="E555" s="1">
        <v>120463</v>
      </c>
      <c r="F555">
        <v>7.4999999999999997E-2</v>
      </c>
      <c r="G555">
        <v>15</v>
      </c>
      <c r="H555">
        <v>824</v>
      </c>
      <c r="I555">
        <v>7</v>
      </c>
      <c r="J555" s="1">
        <v>30396</v>
      </c>
      <c r="K555" s="24" t="s">
        <v>1772</v>
      </c>
      <c r="L555" s="7">
        <f>EV[[#This Row],[Current_Debt]]/EV[[#This Row],[Monthly_Income]]</f>
        <v>4.852490421455939</v>
      </c>
      <c r="M555" t="s">
        <v>1786</v>
      </c>
    </row>
    <row r="556" spans="1:13" s="22" customFormat="1" x14ac:dyDescent="0.3">
      <c r="A556">
        <v>555</v>
      </c>
      <c r="B556" t="s">
        <v>2366</v>
      </c>
      <c r="C556">
        <v>55</v>
      </c>
      <c r="D556" s="27">
        <v>6264</v>
      </c>
      <c r="E556" s="1">
        <v>59307</v>
      </c>
      <c r="F556">
        <v>8.5999999999999993E-2</v>
      </c>
      <c r="G556">
        <v>30</v>
      </c>
      <c r="H556">
        <v>780</v>
      </c>
      <c r="I556">
        <v>8</v>
      </c>
      <c r="J556" s="1">
        <v>4406</v>
      </c>
      <c r="K556" s="24" t="s">
        <v>1774</v>
      </c>
      <c r="L556" s="7">
        <f>EV[[#This Row],[Current_Debt]]/EV[[#This Row],[Monthly_Income]]</f>
        <v>0.70338441890166026</v>
      </c>
      <c r="M556" t="s">
        <v>1785</v>
      </c>
    </row>
    <row r="557" spans="1:13" s="22" customFormat="1" x14ac:dyDescent="0.3">
      <c r="A557">
        <v>556</v>
      </c>
      <c r="B557" t="s">
        <v>2367</v>
      </c>
      <c r="C557">
        <v>59</v>
      </c>
      <c r="D557" s="27">
        <v>12043</v>
      </c>
      <c r="E557" s="1">
        <v>494506</v>
      </c>
      <c r="F557">
        <v>0.05</v>
      </c>
      <c r="G557">
        <v>30</v>
      </c>
      <c r="H557">
        <v>790</v>
      </c>
      <c r="I557">
        <v>1</v>
      </c>
      <c r="J557" s="1">
        <v>31092</v>
      </c>
      <c r="K557" s="24" t="s">
        <v>1772</v>
      </c>
      <c r="L557" s="7">
        <f>EV[[#This Row],[Current_Debt]]/EV[[#This Row],[Monthly_Income]]</f>
        <v>2.5817487337042264</v>
      </c>
      <c r="M557" t="s">
        <v>1786</v>
      </c>
    </row>
    <row r="558" spans="1:13" s="22" customFormat="1" x14ac:dyDescent="0.3">
      <c r="A558">
        <v>557</v>
      </c>
      <c r="B558" t="s">
        <v>2368</v>
      </c>
      <c r="C558">
        <v>49</v>
      </c>
      <c r="D558" s="27">
        <v>10385</v>
      </c>
      <c r="E558" s="1">
        <v>291978</v>
      </c>
      <c r="F558">
        <v>6.3E-2</v>
      </c>
      <c r="G558">
        <v>10</v>
      </c>
      <c r="H558">
        <v>782</v>
      </c>
      <c r="I558">
        <v>0</v>
      </c>
      <c r="J558" s="1">
        <v>49885</v>
      </c>
      <c r="K558" s="24" t="s">
        <v>1772</v>
      </c>
      <c r="L558" s="7">
        <f>EV[[#This Row],[Current_Debt]]/EV[[#This Row],[Monthly_Income]]</f>
        <v>4.8035628310062588</v>
      </c>
      <c r="M558" t="s">
        <v>1786</v>
      </c>
    </row>
    <row r="559" spans="1:13" s="22" customFormat="1" x14ac:dyDescent="0.3">
      <c r="A559">
        <v>558</v>
      </c>
      <c r="B559" t="s">
        <v>2369</v>
      </c>
      <c r="C559">
        <v>43</v>
      </c>
      <c r="D559" s="27">
        <v>3897</v>
      </c>
      <c r="E559" s="1">
        <v>82129</v>
      </c>
      <c r="F559">
        <v>0.108</v>
      </c>
      <c r="G559">
        <v>10</v>
      </c>
      <c r="H559">
        <v>732</v>
      </c>
      <c r="I559">
        <v>19</v>
      </c>
      <c r="J559" s="1">
        <v>39887</v>
      </c>
      <c r="K559" s="24" t="s">
        <v>1772</v>
      </c>
      <c r="L559" s="7">
        <f>EV[[#This Row],[Current_Debt]]/EV[[#This Row],[Monthly_Income]]</f>
        <v>10.235309212214524</v>
      </c>
      <c r="M559" t="s">
        <v>1786</v>
      </c>
    </row>
    <row r="560" spans="1:13" s="22" customFormat="1" x14ac:dyDescent="0.3">
      <c r="A560">
        <v>559</v>
      </c>
      <c r="B560" t="s">
        <v>2370</v>
      </c>
      <c r="C560">
        <v>31</v>
      </c>
      <c r="D560" s="27">
        <v>9865</v>
      </c>
      <c r="E560" s="1">
        <v>228217</v>
      </c>
      <c r="F560">
        <v>0.114</v>
      </c>
      <c r="G560">
        <v>10</v>
      </c>
      <c r="H560">
        <v>600</v>
      </c>
      <c r="I560">
        <v>6</v>
      </c>
      <c r="J560" s="1">
        <v>20705</v>
      </c>
      <c r="K560" s="24" t="s">
        <v>1773</v>
      </c>
      <c r="L560" s="7">
        <f>EV[[#This Row],[Current_Debt]]/EV[[#This Row],[Monthly_Income]]</f>
        <v>2.0988342625443486</v>
      </c>
      <c r="M560" t="s">
        <v>2291</v>
      </c>
    </row>
    <row r="561" spans="1:13" s="22" customFormat="1" x14ac:dyDescent="0.3">
      <c r="A561">
        <v>560</v>
      </c>
      <c r="B561" t="s">
        <v>2371</v>
      </c>
      <c r="C561">
        <v>23</v>
      </c>
      <c r="D561" s="27">
        <v>3762</v>
      </c>
      <c r="E561" s="1">
        <v>175930</v>
      </c>
      <c r="F561">
        <v>8.5999999999999993E-2</v>
      </c>
      <c r="G561">
        <v>30</v>
      </c>
      <c r="H561">
        <v>642</v>
      </c>
      <c r="I561">
        <v>20</v>
      </c>
      <c r="J561" s="1">
        <v>28875</v>
      </c>
      <c r="K561" s="24" t="s">
        <v>1773</v>
      </c>
      <c r="L561" s="7">
        <f>EV[[#This Row],[Current_Debt]]/EV[[#This Row],[Monthly_Income]]</f>
        <v>7.6754385964912277</v>
      </c>
      <c r="M561" t="s">
        <v>1784</v>
      </c>
    </row>
    <row r="562" spans="1:13" s="22" customFormat="1" x14ac:dyDescent="0.3">
      <c r="A562">
        <v>561</v>
      </c>
      <c r="B562" t="s">
        <v>2372</v>
      </c>
      <c r="C562">
        <v>63</v>
      </c>
      <c r="D562" s="27">
        <v>6084</v>
      </c>
      <c r="E562" s="1">
        <v>410714</v>
      </c>
      <c r="F562">
        <v>0.104</v>
      </c>
      <c r="G562">
        <v>20</v>
      </c>
      <c r="H562">
        <v>831</v>
      </c>
      <c r="I562">
        <v>13</v>
      </c>
      <c r="J562" s="1">
        <v>19288</v>
      </c>
      <c r="K562" s="24" t="s">
        <v>1772</v>
      </c>
      <c r="L562" s="7">
        <f>EV[[#This Row],[Current_Debt]]/EV[[#This Row],[Monthly_Income]]</f>
        <v>3.1702827087442471</v>
      </c>
      <c r="M562" t="s">
        <v>1786</v>
      </c>
    </row>
    <row r="563" spans="1:13" s="22" customFormat="1" x14ac:dyDescent="0.3">
      <c r="A563">
        <v>562</v>
      </c>
      <c r="B563" t="s">
        <v>2373</v>
      </c>
      <c r="C563">
        <v>51</v>
      </c>
      <c r="D563" s="27">
        <v>6352</v>
      </c>
      <c r="E563" s="1">
        <v>480868</v>
      </c>
      <c r="F563">
        <v>0.13100000000000001</v>
      </c>
      <c r="G563">
        <v>10</v>
      </c>
      <c r="H563">
        <v>674</v>
      </c>
      <c r="I563">
        <v>17</v>
      </c>
      <c r="J563" s="1">
        <v>33935</v>
      </c>
      <c r="K563" s="24" t="s">
        <v>1772</v>
      </c>
      <c r="L563" s="7">
        <f>EV[[#This Row],[Current_Debt]]/EV[[#This Row],[Monthly_Income]]</f>
        <v>5.3424118387909321</v>
      </c>
      <c r="M563" t="s">
        <v>2292</v>
      </c>
    </row>
    <row r="564" spans="1:13" s="22" customFormat="1" x14ac:dyDescent="0.3">
      <c r="A564">
        <v>563</v>
      </c>
      <c r="B564" t="s">
        <v>2374</v>
      </c>
      <c r="C564">
        <v>32</v>
      </c>
      <c r="D564" s="27">
        <v>11010</v>
      </c>
      <c r="E564" s="1">
        <v>485448</v>
      </c>
      <c r="F564">
        <v>7.9000000000000001E-2</v>
      </c>
      <c r="G564">
        <v>25</v>
      </c>
      <c r="H564">
        <v>702</v>
      </c>
      <c r="I564">
        <v>12</v>
      </c>
      <c r="J564" s="1">
        <v>22409</v>
      </c>
      <c r="K564" s="24" t="s">
        <v>1772</v>
      </c>
      <c r="L564" s="7">
        <f>EV[[#This Row],[Current_Debt]]/EV[[#This Row],[Monthly_Income]]</f>
        <v>2.0353315168029065</v>
      </c>
      <c r="M564" t="s">
        <v>1786</v>
      </c>
    </row>
    <row r="565" spans="1:13" s="22" customFormat="1" x14ac:dyDescent="0.3">
      <c r="A565">
        <v>564</v>
      </c>
      <c r="B565" t="s">
        <v>2375</v>
      </c>
      <c r="C565">
        <v>24</v>
      </c>
      <c r="D565" s="27">
        <v>10532</v>
      </c>
      <c r="E565" s="1">
        <v>344074</v>
      </c>
      <c r="F565">
        <v>7.0000000000000007E-2</v>
      </c>
      <c r="G565">
        <v>20</v>
      </c>
      <c r="H565">
        <v>762</v>
      </c>
      <c r="I565">
        <v>4</v>
      </c>
      <c r="J565" s="1">
        <v>48954</v>
      </c>
      <c r="K565" s="24" t="s">
        <v>1773</v>
      </c>
      <c r="L565" s="7">
        <f>EV[[#This Row],[Current_Debt]]/EV[[#This Row],[Monthly_Income]]</f>
        <v>4.6481200151917967</v>
      </c>
      <c r="M565" t="s">
        <v>1784</v>
      </c>
    </row>
    <row r="566" spans="1:13" s="22" customFormat="1" x14ac:dyDescent="0.3">
      <c r="A566">
        <v>565</v>
      </c>
      <c r="B566" t="s">
        <v>2376</v>
      </c>
      <c r="C566">
        <v>38</v>
      </c>
      <c r="D566" s="27">
        <v>2817</v>
      </c>
      <c r="E566" s="1">
        <v>164115</v>
      </c>
      <c r="F566">
        <v>6.8000000000000005E-2</v>
      </c>
      <c r="G566">
        <v>25</v>
      </c>
      <c r="H566">
        <v>772</v>
      </c>
      <c r="I566">
        <v>20</v>
      </c>
      <c r="J566" s="1">
        <v>43054</v>
      </c>
      <c r="K566" s="24" t="s">
        <v>1772</v>
      </c>
      <c r="L566" s="7">
        <f>EV[[#This Row],[Current_Debt]]/EV[[#This Row],[Monthly_Income]]</f>
        <v>15.283635072772453</v>
      </c>
      <c r="M566" t="s">
        <v>1786</v>
      </c>
    </row>
    <row r="567" spans="1:13" s="22" customFormat="1" x14ac:dyDescent="0.3">
      <c r="A567">
        <v>566</v>
      </c>
      <c r="B567" t="s">
        <v>2377</v>
      </c>
      <c r="C567">
        <v>30</v>
      </c>
      <c r="D567" s="27">
        <v>7831</v>
      </c>
      <c r="E567" s="1">
        <v>489832</v>
      </c>
      <c r="F567">
        <v>0.11700000000000001</v>
      </c>
      <c r="G567">
        <v>25</v>
      </c>
      <c r="H567">
        <v>601</v>
      </c>
      <c r="I567">
        <v>17</v>
      </c>
      <c r="J567" s="1">
        <v>4869</v>
      </c>
      <c r="K567" s="24" t="s">
        <v>1773</v>
      </c>
      <c r="L567" s="7">
        <f>EV[[#This Row],[Current_Debt]]/EV[[#This Row],[Monthly_Income]]</f>
        <v>0.62175967309411317</v>
      </c>
      <c r="M567" t="s">
        <v>2291</v>
      </c>
    </row>
    <row r="568" spans="1:13" s="22" customFormat="1" x14ac:dyDescent="0.3">
      <c r="A568">
        <v>567</v>
      </c>
      <c r="B568" t="s">
        <v>2378</v>
      </c>
      <c r="C568">
        <v>37</v>
      </c>
      <c r="D568" s="27">
        <v>14622</v>
      </c>
      <c r="E568" s="1">
        <v>187776</v>
      </c>
      <c r="F568">
        <v>0.115</v>
      </c>
      <c r="G568">
        <v>30</v>
      </c>
      <c r="H568">
        <v>751</v>
      </c>
      <c r="I568">
        <v>13</v>
      </c>
      <c r="J568" s="1">
        <v>14109</v>
      </c>
      <c r="K568" s="24" t="s">
        <v>1774</v>
      </c>
      <c r="L568" s="7">
        <f>EV[[#This Row],[Current_Debt]]/EV[[#This Row],[Monthly_Income]]</f>
        <v>0.96491588018054986</v>
      </c>
      <c r="M568" t="s">
        <v>1785</v>
      </c>
    </row>
    <row r="569" spans="1:13" s="22" customFormat="1" x14ac:dyDescent="0.3">
      <c r="A569">
        <v>568</v>
      </c>
      <c r="B569" t="s">
        <v>2379</v>
      </c>
      <c r="C569">
        <v>39</v>
      </c>
      <c r="D569" s="27">
        <v>3001</v>
      </c>
      <c r="E569" s="1">
        <v>98171</v>
      </c>
      <c r="F569">
        <v>9.9000000000000005E-2</v>
      </c>
      <c r="G569">
        <v>15</v>
      </c>
      <c r="H569">
        <v>679</v>
      </c>
      <c r="I569">
        <v>9</v>
      </c>
      <c r="J569" s="1">
        <v>48334</v>
      </c>
      <c r="K569" s="24" t="s">
        <v>1772</v>
      </c>
      <c r="L569" s="7">
        <f>EV[[#This Row],[Current_Debt]]/EV[[#This Row],[Monthly_Income]]</f>
        <v>16.105964678440518</v>
      </c>
      <c r="M569" t="s">
        <v>2292</v>
      </c>
    </row>
    <row r="570" spans="1:13" s="22" customFormat="1" x14ac:dyDescent="0.3">
      <c r="A570">
        <v>569</v>
      </c>
      <c r="B570" t="s">
        <v>2380</v>
      </c>
      <c r="C570">
        <v>41</v>
      </c>
      <c r="D570" s="27">
        <v>11346</v>
      </c>
      <c r="E570" s="1">
        <v>290151</v>
      </c>
      <c r="F570">
        <v>9.8000000000000004E-2</v>
      </c>
      <c r="G570">
        <v>25</v>
      </c>
      <c r="H570">
        <v>629</v>
      </c>
      <c r="I570">
        <v>7</v>
      </c>
      <c r="J570" s="1">
        <v>27822</v>
      </c>
      <c r="K570" s="24" t="s">
        <v>1773</v>
      </c>
      <c r="L570" s="7">
        <f>EV[[#This Row],[Current_Debt]]/EV[[#This Row],[Monthly_Income]]</f>
        <v>2.4521417239555792</v>
      </c>
      <c r="M570" t="s">
        <v>2291</v>
      </c>
    </row>
    <row r="571" spans="1:13" s="22" customFormat="1" x14ac:dyDescent="0.3">
      <c r="A571">
        <v>570</v>
      </c>
      <c r="B571" t="s">
        <v>2381</v>
      </c>
      <c r="C571">
        <v>33</v>
      </c>
      <c r="D571" s="27">
        <v>3997</v>
      </c>
      <c r="E571" s="1">
        <v>444360</v>
      </c>
      <c r="F571">
        <v>0.114</v>
      </c>
      <c r="G571">
        <v>15</v>
      </c>
      <c r="H571">
        <v>682</v>
      </c>
      <c r="I571">
        <v>12</v>
      </c>
      <c r="J571" s="1">
        <v>46312</v>
      </c>
      <c r="K571" s="24" t="s">
        <v>1772</v>
      </c>
      <c r="L571" s="7">
        <f>EV[[#This Row],[Current_Debt]]/EV[[#This Row],[Monthly_Income]]</f>
        <v>11.586690017513135</v>
      </c>
      <c r="M571" t="s">
        <v>1786</v>
      </c>
    </row>
    <row r="572" spans="1:13" s="22" customFormat="1" x14ac:dyDescent="0.3">
      <c r="A572">
        <v>571</v>
      </c>
      <c r="B572" t="s">
        <v>2382</v>
      </c>
      <c r="C572">
        <v>22</v>
      </c>
      <c r="D572" s="27">
        <v>3476</v>
      </c>
      <c r="E572" s="1">
        <v>328192</v>
      </c>
      <c r="F572">
        <v>0.111</v>
      </c>
      <c r="G572">
        <v>10</v>
      </c>
      <c r="H572">
        <v>708</v>
      </c>
      <c r="I572">
        <v>9</v>
      </c>
      <c r="J572" s="1">
        <v>41833</v>
      </c>
      <c r="K572" s="24" t="s">
        <v>1773</v>
      </c>
      <c r="L572" s="7">
        <f>EV[[#This Row],[Current_Debt]]/EV[[#This Row],[Monthly_Income]]</f>
        <v>12.034810126582279</v>
      </c>
      <c r="M572" t="s">
        <v>1784</v>
      </c>
    </row>
    <row r="573" spans="1:13" s="22" customFormat="1" x14ac:dyDescent="0.3">
      <c r="A573">
        <v>572</v>
      </c>
      <c r="B573" t="s">
        <v>2383</v>
      </c>
      <c r="C573">
        <v>36</v>
      </c>
      <c r="D573" s="27">
        <v>11453</v>
      </c>
      <c r="E573" s="1">
        <v>311211</v>
      </c>
      <c r="F573">
        <v>0.13600000000000001</v>
      </c>
      <c r="G573">
        <v>15</v>
      </c>
      <c r="H573">
        <v>722</v>
      </c>
      <c r="I573">
        <v>11</v>
      </c>
      <c r="J573" s="1">
        <v>18100</v>
      </c>
      <c r="K573" s="24" t="s">
        <v>1772</v>
      </c>
      <c r="L573" s="7">
        <f>EV[[#This Row],[Current_Debt]]/EV[[#This Row],[Monthly_Income]]</f>
        <v>1.5803719549463022</v>
      </c>
      <c r="M573" t="s">
        <v>1786</v>
      </c>
    </row>
    <row r="574" spans="1:13" s="22" customFormat="1" x14ac:dyDescent="0.3">
      <c r="A574">
        <v>573</v>
      </c>
      <c r="B574" t="s">
        <v>2384</v>
      </c>
      <c r="C574">
        <v>62</v>
      </c>
      <c r="D574" s="27">
        <v>5022</v>
      </c>
      <c r="E574" s="1">
        <v>89689</v>
      </c>
      <c r="F574">
        <v>0.14499999999999999</v>
      </c>
      <c r="G574">
        <v>20</v>
      </c>
      <c r="H574">
        <v>757</v>
      </c>
      <c r="I574">
        <v>3</v>
      </c>
      <c r="J574" s="1">
        <v>30812</v>
      </c>
      <c r="K574" s="24" t="s">
        <v>1772</v>
      </c>
      <c r="L574" s="7">
        <f>EV[[#This Row],[Current_Debt]]/EV[[#This Row],[Monthly_Income]]</f>
        <v>6.1354042214257269</v>
      </c>
      <c r="M574" t="s">
        <v>1786</v>
      </c>
    </row>
    <row r="575" spans="1:13" s="22" customFormat="1" x14ac:dyDescent="0.3">
      <c r="A575">
        <v>574</v>
      </c>
      <c r="B575" t="s">
        <v>2385</v>
      </c>
      <c r="C575">
        <v>48</v>
      </c>
      <c r="D575" s="27">
        <v>9699</v>
      </c>
      <c r="E575" s="1">
        <v>281028</v>
      </c>
      <c r="F575">
        <v>5.5E-2</v>
      </c>
      <c r="G575">
        <v>20</v>
      </c>
      <c r="H575">
        <v>734</v>
      </c>
      <c r="I575">
        <v>20</v>
      </c>
      <c r="J575" s="1">
        <v>8046</v>
      </c>
      <c r="K575" s="24" t="s">
        <v>1774</v>
      </c>
      <c r="L575" s="7">
        <f>EV[[#This Row],[Current_Debt]]/EV[[#This Row],[Monthly_Income]]</f>
        <v>0.8295700587689453</v>
      </c>
      <c r="M575" t="s">
        <v>1785</v>
      </c>
    </row>
    <row r="576" spans="1:13" s="22" customFormat="1" x14ac:dyDescent="0.3">
      <c r="A576">
        <v>575</v>
      </c>
      <c r="B576" t="s">
        <v>2386</v>
      </c>
      <c r="C576">
        <v>62</v>
      </c>
      <c r="D576" s="27">
        <v>12427</v>
      </c>
      <c r="E576" s="1">
        <v>459224</v>
      </c>
      <c r="F576">
        <v>5.3999999999999999E-2</v>
      </c>
      <c r="G576">
        <v>20</v>
      </c>
      <c r="H576">
        <v>616</v>
      </c>
      <c r="I576">
        <v>7</v>
      </c>
      <c r="J576" s="1">
        <v>49628</v>
      </c>
      <c r="K576" s="24" t="s">
        <v>1773</v>
      </c>
      <c r="L576" s="7">
        <f>EV[[#This Row],[Current_Debt]]/EV[[#This Row],[Monthly_Income]]</f>
        <v>3.9935624044419411</v>
      </c>
      <c r="M576" t="s">
        <v>2291</v>
      </c>
    </row>
    <row r="577" spans="1:13" s="22" customFormat="1" x14ac:dyDescent="0.3">
      <c r="A577">
        <v>576</v>
      </c>
      <c r="B577" t="s">
        <v>2387</v>
      </c>
      <c r="C577">
        <v>60</v>
      </c>
      <c r="D577" s="27">
        <v>5113</v>
      </c>
      <c r="E577" s="1">
        <v>227411</v>
      </c>
      <c r="F577">
        <v>8.5999999999999993E-2</v>
      </c>
      <c r="G577">
        <v>10</v>
      </c>
      <c r="H577">
        <v>676</v>
      </c>
      <c r="I577">
        <v>3</v>
      </c>
      <c r="J577" s="1">
        <v>21007</v>
      </c>
      <c r="K577" s="24" t="s">
        <v>1772</v>
      </c>
      <c r="L577" s="7">
        <f>EV[[#This Row],[Current_Debt]]/EV[[#This Row],[Monthly_Income]]</f>
        <v>4.1085468413847055</v>
      </c>
      <c r="M577" t="s">
        <v>2292</v>
      </c>
    </row>
    <row r="578" spans="1:13" s="22" customFormat="1" x14ac:dyDescent="0.3">
      <c r="A578">
        <v>577</v>
      </c>
      <c r="B578" t="s">
        <v>2388</v>
      </c>
      <c r="C578">
        <v>21</v>
      </c>
      <c r="D578" s="27">
        <v>5934</v>
      </c>
      <c r="E578" s="1">
        <v>272128</v>
      </c>
      <c r="F578">
        <v>0.10299999999999999</v>
      </c>
      <c r="G578">
        <v>10</v>
      </c>
      <c r="H578">
        <v>641</v>
      </c>
      <c r="I578">
        <v>2</v>
      </c>
      <c r="J578" s="1">
        <v>47707</v>
      </c>
      <c r="K578" s="24" t="s">
        <v>1773</v>
      </c>
      <c r="L578" s="7">
        <f>EV[[#This Row],[Current_Debt]]/EV[[#This Row],[Monthly_Income]]</f>
        <v>8.0396022918773173</v>
      </c>
      <c r="M578" t="s">
        <v>1784</v>
      </c>
    </row>
    <row r="579" spans="1:13" s="22" customFormat="1" x14ac:dyDescent="0.3">
      <c r="A579">
        <v>578</v>
      </c>
      <c r="B579" t="s">
        <v>2389</v>
      </c>
      <c r="C579">
        <v>65</v>
      </c>
      <c r="D579" s="27">
        <v>6276</v>
      </c>
      <c r="E579" s="1">
        <v>358095</v>
      </c>
      <c r="F579">
        <v>9.4E-2</v>
      </c>
      <c r="G579">
        <v>30</v>
      </c>
      <c r="H579">
        <v>708</v>
      </c>
      <c r="I579">
        <v>15</v>
      </c>
      <c r="J579" s="1">
        <v>2617</v>
      </c>
      <c r="K579" s="24" t="s">
        <v>1774</v>
      </c>
      <c r="L579" s="7">
        <f>EV[[#This Row],[Current_Debt]]/EV[[#This Row],[Monthly_Income]]</f>
        <v>0.41698534098151691</v>
      </c>
      <c r="M579" t="s">
        <v>1785</v>
      </c>
    </row>
    <row r="580" spans="1:13" s="22" customFormat="1" x14ac:dyDescent="0.3">
      <c r="A580">
        <v>579</v>
      </c>
      <c r="B580" t="s">
        <v>2390</v>
      </c>
      <c r="C580">
        <v>29</v>
      </c>
      <c r="D580" s="27">
        <v>2757</v>
      </c>
      <c r="E580" s="1">
        <v>467883</v>
      </c>
      <c r="F580">
        <v>0.1</v>
      </c>
      <c r="G580">
        <v>15</v>
      </c>
      <c r="H580">
        <v>656</v>
      </c>
      <c r="I580">
        <v>14</v>
      </c>
      <c r="J580" s="1">
        <v>48167</v>
      </c>
      <c r="K580" s="24" t="s">
        <v>1772</v>
      </c>
      <c r="L580" s="7">
        <f>EV[[#This Row],[Current_Debt]]/EV[[#This Row],[Monthly_Income]]</f>
        <v>17.470801595937612</v>
      </c>
      <c r="M580" t="s">
        <v>2292</v>
      </c>
    </row>
    <row r="581" spans="1:13" s="22" customFormat="1" x14ac:dyDescent="0.3">
      <c r="A581">
        <v>580</v>
      </c>
      <c r="B581" t="s">
        <v>2391</v>
      </c>
      <c r="C581">
        <v>28</v>
      </c>
      <c r="D581" s="27">
        <v>14660</v>
      </c>
      <c r="E581" s="1">
        <v>412798</v>
      </c>
      <c r="F581">
        <v>0.123</v>
      </c>
      <c r="G581">
        <v>30</v>
      </c>
      <c r="H581">
        <v>687</v>
      </c>
      <c r="I581">
        <v>5</v>
      </c>
      <c r="J581" s="1">
        <v>28130</v>
      </c>
      <c r="K581" s="24" t="s">
        <v>1772</v>
      </c>
      <c r="L581" s="7">
        <f>EV[[#This Row],[Current_Debt]]/EV[[#This Row],[Monthly_Income]]</f>
        <v>1.9188267394270122</v>
      </c>
      <c r="M581" t="s">
        <v>1786</v>
      </c>
    </row>
    <row r="582" spans="1:13" s="22" customFormat="1" x14ac:dyDescent="0.3">
      <c r="A582">
        <v>581</v>
      </c>
      <c r="B582" t="s">
        <v>2392</v>
      </c>
      <c r="C582">
        <v>64</v>
      </c>
      <c r="D582" s="27">
        <v>6218</v>
      </c>
      <c r="E582" s="1">
        <v>309054</v>
      </c>
      <c r="F582">
        <v>6.4000000000000001E-2</v>
      </c>
      <c r="G582">
        <v>20</v>
      </c>
      <c r="H582">
        <v>732</v>
      </c>
      <c r="I582">
        <v>7</v>
      </c>
      <c r="J582" s="1">
        <v>43271</v>
      </c>
      <c r="K582" s="24" t="s">
        <v>1772</v>
      </c>
      <c r="L582" s="7">
        <f>EV[[#This Row],[Current_Debt]]/EV[[#This Row],[Monthly_Income]]</f>
        <v>6.9589900289482145</v>
      </c>
      <c r="M582" t="s">
        <v>1786</v>
      </c>
    </row>
    <row r="583" spans="1:13" s="22" customFormat="1" x14ac:dyDescent="0.3">
      <c r="A583">
        <v>582</v>
      </c>
      <c r="B583" t="s">
        <v>2393</v>
      </c>
      <c r="C583">
        <v>34</v>
      </c>
      <c r="D583" s="27">
        <v>11929</v>
      </c>
      <c r="E583" s="1">
        <v>446635</v>
      </c>
      <c r="F583">
        <v>0.08</v>
      </c>
      <c r="G583">
        <v>20</v>
      </c>
      <c r="H583">
        <v>729</v>
      </c>
      <c r="I583">
        <v>15</v>
      </c>
      <c r="J583" s="1">
        <v>27732</v>
      </c>
      <c r="K583" s="24" t="s">
        <v>1772</v>
      </c>
      <c r="L583" s="7">
        <f>EV[[#This Row],[Current_Debt]]/EV[[#This Row],[Monthly_Income]]</f>
        <v>2.3247547992287703</v>
      </c>
      <c r="M583" t="s">
        <v>1786</v>
      </c>
    </row>
    <row r="584" spans="1:13" s="22" customFormat="1" x14ac:dyDescent="0.3">
      <c r="A584">
        <v>583</v>
      </c>
      <c r="B584" t="s">
        <v>2394</v>
      </c>
      <c r="C584">
        <v>34</v>
      </c>
      <c r="D584" s="27">
        <v>7976</v>
      </c>
      <c r="E584" s="1">
        <v>337191</v>
      </c>
      <c r="F584">
        <v>7.5999999999999998E-2</v>
      </c>
      <c r="G584">
        <v>20</v>
      </c>
      <c r="H584">
        <v>696</v>
      </c>
      <c r="I584">
        <v>4</v>
      </c>
      <c r="J584" s="1">
        <v>9842</v>
      </c>
      <c r="K584" s="24" t="s">
        <v>1774</v>
      </c>
      <c r="L584" s="7">
        <f>EV[[#This Row],[Current_Debt]]/EV[[#This Row],[Monthly_Income]]</f>
        <v>1.2339518555667002</v>
      </c>
      <c r="M584" t="s">
        <v>2290</v>
      </c>
    </row>
    <row r="585" spans="1:13" s="22" customFormat="1" x14ac:dyDescent="0.3">
      <c r="A585">
        <v>584</v>
      </c>
      <c r="B585" t="s">
        <v>2395</v>
      </c>
      <c r="C585">
        <v>59</v>
      </c>
      <c r="D585" s="27">
        <v>14434</v>
      </c>
      <c r="E585" s="1">
        <v>154566</v>
      </c>
      <c r="F585">
        <v>0.09</v>
      </c>
      <c r="G585">
        <v>20</v>
      </c>
      <c r="H585">
        <v>624</v>
      </c>
      <c r="I585">
        <v>18</v>
      </c>
      <c r="J585" s="1">
        <v>18297</v>
      </c>
      <c r="K585" s="24" t="s">
        <v>1773</v>
      </c>
      <c r="L585" s="7">
        <f>EV[[#This Row],[Current_Debt]]/EV[[#This Row],[Monthly_Income]]</f>
        <v>1.267631980047111</v>
      </c>
      <c r="M585" t="s">
        <v>2291</v>
      </c>
    </row>
    <row r="586" spans="1:13" s="22" customFormat="1" x14ac:dyDescent="0.3">
      <c r="A586">
        <v>585</v>
      </c>
      <c r="B586" t="s">
        <v>2396</v>
      </c>
      <c r="C586">
        <v>34</v>
      </c>
      <c r="D586" s="27">
        <v>9588</v>
      </c>
      <c r="E586" s="1">
        <v>151323</v>
      </c>
      <c r="F586">
        <v>0.124</v>
      </c>
      <c r="G586">
        <v>20</v>
      </c>
      <c r="H586">
        <v>771</v>
      </c>
      <c r="I586">
        <v>11</v>
      </c>
      <c r="J586" s="1">
        <v>21072</v>
      </c>
      <c r="K586" s="24" t="s">
        <v>1772</v>
      </c>
      <c r="L586" s="7">
        <f>EV[[#This Row],[Current_Debt]]/EV[[#This Row],[Monthly_Income]]</f>
        <v>2.1977471839799749</v>
      </c>
      <c r="M586" t="s">
        <v>1786</v>
      </c>
    </row>
    <row r="587" spans="1:13" s="22" customFormat="1" x14ac:dyDescent="0.3">
      <c r="A587">
        <v>586</v>
      </c>
      <c r="B587" t="s">
        <v>2397</v>
      </c>
      <c r="C587">
        <v>21</v>
      </c>
      <c r="D587" s="27">
        <v>3221</v>
      </c>
      <c r="E587" s="1">
        <v>310447</v>
      </c>
      <c r="F587">
        <v>9.7000000000000003E-2</v>
      </c>
      <c r="G587">
        <v>25</v>
      </c>
      <c r="H587">
        <v>757</v>
      </c>
      <c r="I587">
        <v>10</v>
      </c>
      <c r="J587" s="1">
        <v>14898</v>
      </c>
      <c r="K587" s="24" t="s">
        <v>1773</v>
      </c>
      <c r="L587" s="7">
        <f>EV[[#This Row],[Current_Debt]]/EV[[#This Row],[Monthly_Income]]</f>
        <v>4.6252716547656005</v>
      </c>
      <c r="M587" t="s">
        <v>1784</v>
      </c>
    </row>
    <row r="588" spans="1:13" s="22" customFormat="1" x14ac:dyDescent="0.3">
      <c r="A588">
        <v>587</v>
      </c>
      <c r="B588" t="s">
        <v>2398</v>
      </c>
      <c r="C588">
        <v>61</v>
      </c>
      <c r="D588" s="27">
        <v>2874</v>
      </c>
      <c r="E588" s="1">
        <v>217164</v>
      </c>
      <c r="F588">
        <v>8.6999999999999994E-2</v>
      </c>
      <c r="G588">
        <v>15</v>
      </c>
      <c r="H588">
        <v>689</v>
      </c>
      <c r="I588">
        <v>20</v>
      </c>
      <c r="J588" s="1">
        <v>29545</v>
      </c>
      <c r="K588" s="24" t="s">
        <v>1772</v>
      </c>
      <c r="L588" s="7">
        <f>EV[[#This Row],[Current_Debt]]/EV[[#This Row],[Monthly_Income]]</f>
        <v>10.280097425191371</v>
      </c>
      <c r="M588" t="s">
        <v>1786</v>
      </c>
    </row>
    <row r="589" spans="1:13" s="22" customFormat="1" x14ac:dyDescent="0.3">
      <c r="A589">
        <v>588</v>
      </c>
      <c r="B589" t="s">
        <v>2399</v>
      </c>
      <c r="C589">
        <v>56</v>
      </c>
      <c r="D589" s="27">
        <v>12435</v>
      </c>
      <c r="E589" s="1">
        <v>180943</v>
      </c>
      <c r="F589">
        <v>0.124</v>
      </c>
      <c r="G589">
        <v>20</v>
      </c>
      <c r="H589">
        <v>600</v>
      </c>
      <c r="I589">
        <v>6</v>
      </c>
      <c r="J589" s="1">
        <v>47219</v>
      </c>
      <c r="K589" s="24" t="s">
        <v>1773</v>
      </c>
      <c r="L589" s="7">
        <f>EV[[#This Row],[Current_Debt]]/EV[[#This Row],[Monthly_Income]]</f>
        <v>3.7972657820667473</v>
      </c>
      <c r="M589" t="s">
        <v>2291</v>
      </c>
    </row>
    <row r="590" spans="1:13" s="22" customFormat="1" x14ac:dyDescent="0.3">
      <c r="A590">
        <v>589</v>
      </c>
      <c r="B590" t="s">
        <v>2400</v>
      </c>
      <c r="C590">
        <v>52</v>
      </c>
      <c r="D590" s="27">
        <v>13416</v>
      </c>
      <c r="E590" s="1">
        <v>306013</v>
      </c>
      <c r="F590">
        <v>9.5000000000000001E-2</v>
      </c>
      <c r="G590">
        <v>20</v>
      </c>
      <c r="H590">
        <v>844</v>
      </c>
      <c r="I590">
        <v>18</v>
      </c>
      <c r="J590" s="1">
        <v>41443</v>
      </c>
      <c r="K590" s="24" t="s">
        <v>1772</v>
      </c>
      <c r="L590" s="7">
        <f>EV[[#This Row],[Current_Debt]]/EV[[#This Row],[Monthly_Income]]</f>
        <v>3.08907274895647</v>
      </c>
      <c r="M590" t="s">
        <v>1786</v>
      </c>
    </row>
    <row r="591" spans="1:13" s="22" customFormat="1" x14ac:dyDescent="0.3">
      <c r="A591">
        <v>590</v>
      </c>
      <c r="B591" t="s">
        <v>2401</v>
      </c>
      <c r="C591">
        <v>61</v>
      </c>
      <c r="D591" s="27">
        <v>9298</v>
      </c>
      <c r="E591" s="1">
        <v>432412</v>
      </c>
      <c r="F591">
        <v>0.15</v>
      </c>
      <c r="G591">
        <v>20</v>
      </c>
      <c r="H591">
        <v>680</v>
      </c>
      <c r="I591">
        <v>12</v>
      </c>
      <c r="J591" s="1">
        <v>4753</v>
      </c>
      <c r="K591" s="24" t="s">
        <v>1774</v>
      </c>
      <c r="L591" s="7">
        <f>EV[[#This Row],[Current_Debt]]/EV[[#This Row],[Monthly_Income]]</f>
        <v>0.51118520111852006</v>
      </c>
      <c r="M591" t="s">
        <v>2290</v>
      </c>
    </row>
    <row r="592" spans="1:13" s="22" customFormat="1" x14ac:dyDescent="0.3">
      <c r="A592">
        <v>591</v>
      </c>
      <c r="B592" t="s">
        <v>2402</v>
      </c>
      <c r="C592">
        <v>45</v>
      </c>
      <c r="D592" s="27">
        <v>14349</v>
      </c>
      <c r="E592" s="1">
        <v>271283</v>
      </c>
      <c r="F592">
        <v>6.3E-2</v>
      </c>
      <c r="G592">
        <v>10</v>
      </c>
      <c r="H592">
        <v>794</v>
      </c>
      <c r="I592">
        <v>5</v>
      </c>
      <c r="J592" s="1">
        <v>25282</v>
      </c>
      <c r="K592" s="24" t="s">
        <v>1772</v>
      </c>
      <c r="L592" s="7">
        <f>EV[[#This Row],[Current_Debt]]/EV[[#This Row],[Monthly_Income]]</f>
        <v>1.7619346295909122</v>
      </c>
      <c r="M592" t="s">
        <v>1786</v>
      </c>
    </row>
    <row r="593" spans="1:13" s="22" customFormat="1" x14ac:dyDescent="0.3">
      <c r="A593">
        <v>592</v>
      </c>
      <c r="B593" t="s">
        <v>2403</v>
      </c>
      <c r="C593">
        <v>50</v>
      </c>
      <c r="D593" s="27">
        <v>11222</v>
      </c>
      <c r="E593" s="1">
        <v>468548</v>
      </c>
      <c r="F593">
        <v>6.9000000000000006E-2</v>
      </c>
      <c r="G593">
        <v>15</v>
      </c>
      <c r="H593">
        <v>845</v>
      </c>
      <c r="I593">
        <v>11</v>
      </c>
      <c r="J593" s="1">
        <v>337</v>
      </c>
      <c r="K593" s="24" t="s">
        <v>1774</v>
      </c>
      <c r="L593" s="7">
        <f>EV[[#This Row],[Current_Debt]]/EV[[#This Row],[Monthly_Income]]</f>
        <v>3.0030297629656033E-2</v>
      </c>
      <c r="M593" t="s">
        <v>1785</v>
      </c>
    </row>
    <row r="594" spans="1:13" s="22" customFormat="1" x14ac:dyDescent="0.3">
      <c r="A594">
        <v>593</v>
      </c>
      <c r="B594" t="s">
        <v>2404</v>
      </c>
      <c r="C594">
        <v>48</v>
      </c>
      <c r="D594" s="27">
        <v>10077</v>
      </c>
      <c r="E594" s="1">
        <v>248034</v>
      </c>
      <c r="F594">
        <v>0.125</v>
      </c>
      <c r="G594">
        <v>30</v>
      </c>
      <c r="H594">
        <v>586</v>
      </c>
      <c r="I594">
        <v>2</v>
      </c>
      <c r="J594" s="1">
        <v>39509</v>
      </c>
      <c r="K594" s="24" t="s">
        <v>1773</v>
      </c>
      <c r="L594" s="7">
        <f>EV[[#This Row],[Current_Debt]]/EV[[#This Row],[Monthly_Income]]</f>
        <v>3.9207105289272599</v>
      </c>
      <c r="M594" t="s">
        <v>2291</v>
      </c>
    </row>
    <row r="595" spans="1:13" s="22" customFormat="1" x14ac:dyDescent="0.3">
      <c r="A595">
        <v>594</v>
      </c>
      <c r="B595" t="s">
        <v>2405</v>
      </c>
      <c r="C595">
        <v>61</v>
      </c>
      <c r="D595" s="27">
        <v>6097</v>
      </c>
      <c r="E595" s="1">
        <v>356824</v>
      </c>
      <c r="F595">
        <v>8.1000000000000003E-2</v>
      </c>
      <c r="G595">
        <v>20</v>
      </c>
      <c r="H595">
        <v>843</v>
      </c>
      <c r="I595">
        <v>16</v>
      </c>
      <c r="J595" s="1">
        <v>11666</v>
      </c>
      <c r="K595" s="24" t="s">
        <v>1774</v>
      </c>
      <c r="L595" s="7">
        <f>EV[[#This Row],[Current_Debt]]/EV[[#This Row],[Monthly_Income]]</f>
        <v>1.9134000328030178</v>
      </c>
      <c r="M595" t="s">
        <v>1785</v>
      </c>
    </row>
    <row r="596" spans="1:13" s="22" customFormat="1" x14ac:dyDescent="0.3">
      <c r="A596">
        <v>595</v>
      </c>
      <c r="B596" t="s">
        <v>2406</v>
      </c>
      <c r="C596">
        <v>27</v>
      </c>
      <c r="D596" s="27">
        <v>8904</v>
      </c>
      <c r="E596" s="1">
        <v>296239</v>
      </c>
      <c r="F596">
        <v>0.13100000000000001</v>
      </c>
      <c r="G596">
        <v>20</v>
      </c>
      <c r="H596">
        <v>704</v>
      </c>
      <c r="I596">
        <v>13</v>
      </c>
      <c r="J596" s="1">
        <v>16966</v>
      </c>
      <c r="K596" s="24" t="s">
        <v>1772</v>
      </c>
      <c r="L596" s="7">
        <f>EV[[#This Row],[Current_Debt]]/EV[[#This Row],[Monthly_Income]]</f>
        <v>1.905435759209344</v>
      </c>
      <c r="M596" t="s">
        <v>1786</v>
      </c>
    </row>
    <row r="597" spans="1:13" s="22" customFormat="1" x14ac:dyDescent="0.3">
      <c r="A597">
        <v>596</v>
      </c>
      <c r="B597" t="s">
        <v>2407</v>
      </c>
      <c r="C597">
        <v>22</v>
      </c>
      <c r="D597" s="27">
        <v>5551</v>
      </c>
      <c r="E597" s="1">
        <v>275604</v>
      </c>
      <c r="F597">
        <v>0.14199999999999999</v>
      </c>
      <c r="G597">
        <v>15</v>
      </c>
      <c r="H597">
        <v>670</v>
      </c>
      <c r="I597">
        <v>17</v>
      </c>
      <c r="J597" s="1">
        <v>9557</v>
      </c>
      <c r="K597" s="24" t="s">
        <v>1773</v>
      </c>
      <c r="L597" s="7">
        <f>EV[[#This Row],[Current_Debt]]/EV[[#This Row],[Monthly_Income]]</f>
        <v>1.7216717708520988</v>
      </c>
      <c r="M597" t="s">
        <v>1784</v>
      </c>
    </row>
    <row r="598" spans="1:13" s="22" customFormat="1" x14ac:dyDescent="0.3">
      <c r="A598">
        <v>597</v>
      </c>
      <c r="B598" t="s">
        <v>2408</v>
      </c>
      <c r="C598">
        <v>36</v>
      </c>
      <c r="D598" s="27">
        <v>5097</v>
      </c>
      <c r="E598" s="1">
        <v>221726</v>
      </c>
      <c r="F598">
        <v>8.5000000000000006E-2</v>
      </c>
      <c r="G598">
        <v>30</v>
      </c>
      <c r="H598">
        <v>764</v>
      </c>
      <c r="I598">
        <v>20</v>
      </c>
      <c r="J598" s="1">
        <v>40988</v>
      </c>
      <c r="K598" s="24" t="s">
        <v>1772</v>
      </c>
      <c r="L598" s="7">
        <f>EV[[#This Row],[Current_Debt]]/EV[[#This Row],[Monthly_Income]]</f>
        <v>8.0415930939768483</v>
      </c>
      <c r="M598" t="s">
        <v>1786</v>
      </c>
    </row>
    <row r="599" spans="1:13" s="22" customFormat="1" x14ac:dyDescent="0.3">
      <c r="A599">
        <v>598</v>
      </c>
      <c r="B599" t="s">
        <v>2409</v>
      </c>
      <c r="C599">
        <v>40</v>
      </c>
      <c r="D599" s="27">
        <v>7669</v>
      </c>
      <c r="E599" s="1">
        <v>491153</v>
      </c>
      <c r="F599">
        <v>5.0999999999999997E-2</v>
      </c>
      <c r="G599">
        <v>10</v>
      </c>
      <c r="H599">
        <v>713</v>
      </c>
      <c r="I599">
        <v>18</v>
      </c>
      <c r="J599" s="1">
        <v>19305</v>
      </c>
      <c r="K599" s="24" t="s">
        <v>1772</v>
      </c>
      <c r="L599" s="7">
        <f>EV[[#This Row],[Current_Debt]]/EV[[#This Row],[Monthly_Income]]</f>
        <v>2.5172773503716259</v>
      </c>
      <c r="M599" t="s">
        <v>1786</v>
      </c>
    </row>
    <row r="600" spans="1:13" s="22" customFormat="1" x14ac:dyDescent="0.3">
      <c r="A600">
        <v>599</v>
      </c>
      <c r="B600" t="s">
        <v>2410</v>
      </c>
      <c r="C600">
        <v>37</v>
      </c>
      <c r="D600" s="27">
        <v>2950</v>
      </c>
      <c r="E600" s="1">
        <v>146722</v>
      </c>
      <c r="F600">
        <v>7.2999999999999995E-2</v>
      </c>
      <c r="G600">
        <v>15</v>
      </c>
      <c r="H600">
        <v>736</v>
      </c>
      <c r="I600">
        <v>9</v>
      </c>
      <c r="J600" s="1">
        <v>16283</v>
      </c>
      <c r="K600" s="24" t="s">
        <v>1772</v>
      </c>
      <c r="L600" s="7">
        <f>EV[[#This Row],[Current_Debt]]/EV[[#This Row],[Monthly_Income]]</f>
        <v>5.5196610169491525</v>
      </c>
      <c r="M600" t="s">
        <v>1786</v>
      </c>
    </row>
    <row r="601" spans="1:13" s="22" customFormat="1" x14ac:dyDescent="0.3">
      <c r="A601" s="30">
        <v>600</v>
      </c>
      <c r="B601" s="30" t="s">
        <v>2411</v>
      </c>
      <c r="C601" s="30">
        <v>44</v>
      </c>
      <c r="D601" s="31">
        <v>9442</v>
      </c>
      <c r="E601" s="32">
        <v>216909</v>
      </c>
      <c r="F601" s="33">
        <v>8.3000000000000004E-2</v>
      </c>
      <c r="G601" s="33">
        <v>30</v>
      </c>
      <c r="H601" s="33">
        <v>798</v>
      </c>
      <c r="I601" s="33">
        <v>8</v>
      </c>
      <c r="J601" s="32">
        <v>48618</v>
      </c>
      <c r="K601" s="34" t="s">
        <v>1772</v>
      </c>
      <c r="L601" s="35">
        <f>EV[[#This Row],[Current_Debt]]/EV[[#This Row],[Monthly_Income]]</f>
        <v>5.1491209489514933</v>
      </c>
      <c r="M601" s="30" t="s">
        <v>1786</v>
      </c>
    </row>
    <row r="602" spans="1:13" s="22" customFormat="1" x14ac:dyDescent="0.3">
      <c r="A602">
        <v>601</v>
      </c>
      <c r="B602" t="s">
        <v>2420</v>
      </c>
      <c r="C602">
        <v>43</v>
      </c>
      <c r="D602" s="27">
        <v>57754</v>
      </c>
      <c r="E602" s="1">
        <v>543546</v>
      </c>
      <c r="F602">
        <v>8.3000000000000004E-2</v>
      </c>
      <c r="G602">
        <v>30</v>
      </c>
      <c r="H602">
        <v>798</v>
      </c>
      <c r="I602">
        <v>8</v>
      </c>
      <c r="J602" s="1">
        <v>48618</v>
      </c>
      <c r="K602" s="24" t="s">
        <v>1772</v>
      </c>
      <c r="L602" s="7">
        <f>EV[[#This Row],[Current_Debt]]/EV[[#This Row],[Monthly_Income]]</f>
        <v>0.84181182255774489</v>
      </c>
      <c r="M602" t="s">
        <v>1786</v>
      </c>
    </row>
    <row r="603" spans="1:13" x14ac:dyDescent="0.3">
      <c r="A603" s="30">
        <v>602</v>
      </c>
      <c r="B603" s="30" t="s">
        <v>2421</v>
      </c>
      <c r="C603" s="30">
        <v>48</v>
      </c>
      <c r="D603" s="31">
        <v>5693</v>
      </c>
      <c r="E603" s="32">
        <v>543546</v>
      </c>
      <c r="F603" s="33">
        <v>8.3000000000000004E-2</v>
      </c>
      <c r="G603" s="33">
        <v>30</v>
      </c>
      <c r="H603" s="33">
        <v>798</v>
      </c>
      <c r="I603" s="33">
        <v>8</v>
      </c>
      <c r="J603" s="32">
        <v>48618</v>
      </c>
      <c r="K603" s="34" t="s">
        <v>1772</v>
      </c>
      <c r="L603" s="35">
        <f>EV[[#This Row],[Current_Debt]]/EV[[#This Row],[Monthly_Income]]</f>
        <v>8.5399613560512915</v>
      </c>
      <c r="M603" s="30" t="s">
        <v>1786</v>
      </c>
    </row>
    <row r="604" spans="1:13" x14ac:dyDescent="0.3">
      <c r="A604" s="22"/>
      <c r="B604" s="22"/>
      <c r="C604" s="22"/>
      <c r="D604" s="22"/>
      <c r="E604" s="22"/>
      <c r="F604" s="22"/>
      <c r="G604" s="22"/>
      <c r="H604" s="22"/>
      <c r="I604" s="22"/>
      <c r="J604" s="22"/>
      <c r="K604" s="22"/>
      <c r="L604" s="23"/>
      <c r="M604" s="22"/>
    </row>
  </sheetData>
  <conditionalFormatting sqref="K1:K1048576">
    <cfRule type="colorScale" priority="4">
      <colorScale>
        <cfvo type="min"/>
        <cfvo type="percentile" val="50"/>
        <cfvo type="max"/>
        <color rgb="FFF8696B"/>
        <color rgb="FFFFEB84"/>
        <color rgb="FF63BE7B"/>
      </colorScale>
    </cfRule>
  </conditionalFormatting>
  <conditionalFormatting sqref="K2:M603">
    <cfRule type="containsText" dxfId="5" priority="1" operator="containsText" text="Refused">
      <formula>NOT(ISERROR(SEARCH("Refused",K2)))</formula>
    </cfRule>
    <cfRule type="containsText" dxfId="4" priority="2" operator="containsText" text="Revision">
      <formula>NOT(ISERROR(SEARCH("Revision",K2)))</formula>
    </cfRule>
    <cfRule type="containsText" dxfId="3" priority="3" operator="containsText" text="Approved">
      <formula>NOT(ISERROR(SEARCH("Approved",K2)))</formula>
    </cfRule>
  </conditionalFormatting>
  <dataValidations count="1">
    <dataValidation type="list" allowBlank="1" showInputMessage="1" showErrorMessage="1" sqref="O349" xr:uid="{25343157-3F50-4450-BEAF-8FEDDC8C7608}">
      <formula1>"hola, goola"</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8" r:id="rId3" name="Button 4">
              <controlPr defaultSize="0" print="0" autoFill="0" autoPict="0" macro="[0]!UpdateEvaluation">
                <anchor moveWithCells="1" sizeWithCells="1">
                  <from>
                    <xdr:col>13</xdr:col>
                    <xdr:colOff>327660</xdr:colOff>
                    <xdr:row>1</xdr:row>
                    <xdr:rowOff>53340</xdr:rowOff>
                  </from>
                  <to>
                    <xdr:col>14</xdr:col>
                    <xdr:colOff>708660</xdr:colOff>
                    <xdr:row>8</xdr:row>
                    <xdr:rowOff>91440</xdr:rowOff>
                  </to>
                </anchor>
              </controlPr>
            </control>
          </mc:Choice>
        </mc:AlternateContent>
        <mc:AlternateContent xmlns:mc="http://schemas.openxmlformats.org/markup-compatibility/2006">
          <mc:Choice Requires="x14">
            <control shapeId="6149" r:id="rId4" name="Button 5">
              <controlPr defaultSize="0" print="0" autoFill="0" autoPict="0" macro="[0]!ReevaluateAllClients">
                <anchor moveWithCells="1" sizeWithCells="1">
                  <from>
                    <xdr:col>13</xdr:col>
                    <xdr:colOff>304800</xdr:colOff>
                    <xdr:row>9</xdr:row>
                    <xdr:rowOff>152400</xdr:rowOff>
                  </from>
                  <to>
                    <xdr:col>14</xdr:col>
                    <xdr:colOff>838200</xdr:colOff>
                    <xdr:row>15</xdr:row>
                    <xdr:rowOff>68580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B8E0A-BA4D-4A58-9ABA-3A471BFCC275}">
  <sheetPr codeName="Sheet5"/>
  <dimension ref="A1:D34"/>
  <sheetViews>
    <sheetView zoomScale="72" workbookViewId="0">
      <selection activeCell="D3" sqref="D3"/>
    </sheetView>
  </sheetViews>
  <sheetFormatPr defaultRowHeight="14.4" x14ac:dyDescent="0.3"/>
  <cols>
    <col min="1" max="1" width="18.109375" customWidth="1"/>
    <col min="2" max="2" width="12.33203125" customWidth="1"/>
    <col min="3" max="3" width="22.44140625" customWidth="1"/>
    <col min="4" max="4" width="25.21875" customWidth="1"/>
  </cols>
  <sheetData>
    <row r="1" spans="1:4" ht="15.6" x14ac:dyDescent="0.3">
      <c r="A1" s="4"/>
      <c r="C1" s="28" t="s">
        <v>2306</v>
      </c>
      <c r="D1" s="28"/>
    </row>
    <row r="2" spans="1:4" x14ac:dyDescent="0.3">
      <c r="A2" s="4"/>
      <c r="C2" s="16" t="s">
        <v>2296</v>
      </c>
      <c r="D2" s="17">
        <v>550</v>
      </c>
    </row>
    <row r="3" spans="1:4" x14ac:dyDescent="0.3">
      <c r="A3" s="4"/>
    </row>
    <row r="4" spans="1:4" ht="15.6" x14ac:dyDescent="0.3">
      <c r="A4" s="4"/>
      <c r="C4" s="14" t="s">
        <v>2297</v>
      </c>
      <c r="D4" s="15">
        <f>_xlfn.XLOOKUP($D$2,Evaluations!$A:$A, Evaluations!$A:$A,"Not found")</f>
        <v>550</v>
      </c>
    </row>
    <row r="5" spans="1:4" ht="15.6" x14ac:dyDescent="0.3">
      <c r="A5" s="4"/>
      <c r="C5" s="14" t="s">
        <v>2298</v>
      </c>
      <c r="D5" s="19" t="str">
        <f>_xlfn.XLOOKUP(D2,Evaluations!A:A,Evaluations!B:B,"Notfound")</f>
        <v>CLIENT_1_50</v>
      </c>
    </row>
    <row r="6" spans="1:4" ht="15.6" x14ac:dyDescent="0.3">
      <c r="A6" s="4"/>
      <c r="C6" s="14" t="s">
        <v>2</v>
      </c>
      <c r="D6" s="15">
        <f>_xlfn.XLOOKUP(D2,Evaluations!A:A,Evaluations!C:C,"Not found")</f>
        <v>23</v>
      </c>
    </row>
    <row r="7" spans="1:4" ht="15.6" x14ac:dyDescent="0.3">
      <c r="A7" s="4"/>
      <c r="C7" s="14" t="s">
        <v>2299</v>
      </c>
      <c r="D7" s="20">
        <f>_xlfn.XLOOKUP(D2,Evaluations!A:A,Evaluations!D:D,"Not found")</f>
        <v>6888</v>
      </c>
    </row>
    <row r="8" spans="1:4" ht="15.6" x14ac:dyDescent="0.3">
      <c r="A8" s="4"/>
      <c r="C8" s="14" t="s">
        <v>2300</v>
      </c>
      <c r="D8" s="20">
        <f>_xlfn.XLOOKUP(D2,Evaluations!A:A,Evaluations!E:E,"Not found")</f>
        <v>388872</v>
      </c>
    </row>
    <row r="9" spans="1:4" ht="15.6" x14ac:dyDescent="0.3">
      <c r="A9" s="4"/>
      <c r="C9" s="14" t="s">
        <v>2301</v>
      </c>
      <c r="D9" s="15">
        <f>_xlfn.XLOOKUP(D2,Evaluations!A:A,Evaluations!F:F,"Not found")</f>
        <v>8.5000000000000006E-2</v>
      </c>
    </row>
    <row r="10" spans="1:4" ht="15.6" x14ac:dyDescent="0.3">
      <c r="A10" s="4"/>
      <c r="C10" s="14" t="s">
        <v>2302</v>
      </c>
      <c r="D10" s="15">
        <f>_xlfn.XLOOKUP(D2,Evaluations!A:A,Evaluations!G:G,"Not found")</f>
        <v>25</v>
      </c>
    </row>
    <row r="11" spans="1:4" ht="15.6" x14ac:dyDescent="0.3">
      <c r="A11" s="4"/>
      <c r="C11" s="14" t="s">
        <v>2295</v>
      </c>
      <c r="D11" s="15">
        <f>_xlfn.XLOOKUP(D2,Evaluations!A:A,Evaluations!H:H,"Not found")</f>
        <v>612</v>
      </c>
    </row>
    <row r="12" spans="1:4" ht="15.6" x14ac:dyDescent="0.3">
      <c r="A12" s="4"/>
      <c r="C12" s="14" t="s">
        <v>2303</v>
      </c>
      <c r="D12" s="15">
        <f>_xlfn.XLOOKUP(D2,Evaluations!A:A,Evaluations!I:I,"Not found")</f>
        <v>15</v>
      </c>
    </row>
    <row r="13" spans="1:4" ht="15.6" x14ac:dyDescent="0.3">
      <c r="A13" s="4"/>
      <c r="C13" s="14" t="s">
        <v>2304</v>
      </c>
      <c r="D13" s="15">
        <f>_xlfn.XLOOKUP(D2,Evaluations!A:A, Evaluations!J:J, "Not found")</f>
        <v>36794</v>
      </c>
    </row>
    <row r="14" spans="1:4" ht="15.6" x14ac:dyDescent="0.3">
      <c r="A14" s="4"/>
      <c r="C14" s="14" t="s">
        <v>1771</v>
      </c>
      <c r="D14" s="15" t="str">
        <f>_xlfn.XLOOKUP(D2,Evaluations!A:A,Evaluations!K:K,"Not found")</f>
        <v>Refused</v>
      </c>
    </row>
    <row r="15" spans="1:4" ht="15.6" x14ac:dyDescent="0.3">
      <c r="A15" s="4"/>
      <c r="C15" s="18" t="s">
        <v>2305</v>
      </c>
      <c r="D15" s="17" t="str" cm="1">
        <f t="array" ref="D15">_xlfn.XLOOKUP(_xlfn.XLOOKUP(D2,Evaluations!A:A,Evaluations!H:H),{600,650,700,750,800}, {"Very High Risk","High Risk","Medium Risk","Low Risk","Very Low Risk"}, "Unkown",1)</f>
        <v>High Risk</v>
      </c>
    </row>
    <row r="16" spans="1:4" x14ac:dyDescent="0.3">
      <c r="A16" s="4"/>
    </row>
    <row r="17" spans="1:1" x14ac:dyDescent="0.3">
      <c r="A17" s="4"/>
    </row>
    <row r="18" spans="1:1" x14ac:dyDescent="0.3">
      <c r="A18" s="4"/>
    </row>
    <row r="19" spans="1:1" x14ac:dyDescent="0.3">
      <c r="A19" s="4"/>
    </row>
    <row r="20" spans="1:1" x14ac:dyDescent="0.3">
      <c r="A20" s="4"/>
    </row>
    <row r="21" spans="1:1" x14ac:dyDescent="0.3">
      <c r="A21" s="4"/>
    </row>
    <row r="22" spans="1:1" x14ac:dyDescent="0.3">
      <c r="A22" s="4"/>
    </row>
    <row r="23" spans="1:1" x14ac:dyDescent="0.3">
      <c r="A23" s="4"/>
    </row>
    <row r="24" spans="1:1" x14ac:dyDescent="0.3">
      <c r="A24" s="4"/>
    </row>
    <row r="25" spans="1:1" x14ac:dyDescent="0.3">
      <c r="A25" s="4"/>
    </row>
    <row r="26" spans="1:1" x14ac:dyDescent="0.3">
      <c r="A26" s="4"/>
    </row>
    <row r="27" spans="1:1" x14ac:dyDescent="0.3">
      <c r="A27" s="4"/>
    </row>
    <row r="28" spans="1:1" x14ac:dyDescent="0.3">
      <c r="A28" s="4"/>
    </row>
    <row r="29" spans="1:1" x14ac:dyDescent="0.3">
      <c r="A29" s="4"/>
    </row>
    <row r="30" spans="1:1" x14ac:dyDescent="0.3">
      <c r="A30" s="4"/>
    </row>
    <row r="31" spans="1:1" x14ac:dyDescent="0.3">
      <c r="A31" s="4"/>
    </row>
    <row r="32" spans="1:1" x14ac:dyDescent="0.3">
      <c r="A32" s="4"/>
    </row>
    <row r="33" spans="1:1" x14ac:dyDescent="0.3">
      <c r="A33" s="13"/>
    </row>
    <row r="34" spans="1:1" x14ac:dyDescent="0.3">
      <c r="A34" s="13"/>
    </row>
  </sheetData>
  <mergeCells count="1">
    <mergeCell ref="C1:D1"/>
  </mergeCells>
  <conditionalFormatting sqref="D14">
    <cfRule type="cellIs" dxfId="2" priority="1" operator="equal">
      <formula>"Refused"</formula>
    </cfRule>
    <cfRule type="cellIs" dxfId="1" priority="2" operator="equal">
      <formula>"Revision"</formula>
    </cfRule>
    <cfRule type="cellIs" dxfId="0" priority="3" operator="equal">
      <formula>"Approved"</formula>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FC5AC-3BFC-4448-8CDA-08089CB57ACF}">
  <sheetPr codeName="Sheet7"/>
  <dimension ref="A1:L32"/>
  <sheetViews>
    <sheetView zoomScale="71" workbookViewId="0">
      <selection activeCell="D31" sqref="D31"/>
    </sheetView>
  </sheetViews>
  <sheetFormatPr defaultRowHeight="14.4" x14ac:dyDescent="0.3"/>
  <cols>
    <col min="1" max="1" width="18.44140625" customWidth="1"/>
    <col min="2" max="2" width="13.77734375" customWidth="1"/>
    <col min="3" max="3" width="11.5546875" bestFit="1" customWidth="1"/>
    <col min="4" max="4" width="18.88671875" bestFit="1" customWidth="1"/>
    <col min="5" max="5" width="16.21875" bestFit="1" customWidth="1"/>
    <col min="6" max="6" width="23.44140625" bestFit="1" customWidth="1"/>
    <col min="7" max="7" width="18.5546875" bestFit="1" customWidth="1"/>
    <col min="8" max="8" width="23.88671875" bestFit="1" customWidth="1"/>
    <col min="9" max="9" width="11.5546875" bestFit="1" customWidth="1"/>
    <col min="10" max="10" width="16.109375" bestFit="1" customWidth="1"/>
    <col min="11" max="11" width="26.6640625" bestFit="1" customWidth="1"/>
    <col min="12" max="12" width="33.109375" bestFit="1" customWidth="1"/>
    <col min="13" max="13" width="26.6640625" bestFit="1" customWidth="1"/>
    <col min="14" max="14" width="33.109375" bestFit="1" customWidth="1"/>
    <col min="15" max="15" width="26.6640625" bestFit="1" customWidth="1"/>
    <col min="16" max="16" width="23.44140625" bestFit="1" customWidth="1"/>
    <col min="17" max="17" width="33.44140625" bestFit="1" customWidth="1"/>
    <col min="18" max="18" width="10.5546875" bestFit="1" customWidth="1"/>
  </cols>
  <sheetData>
    <row r="1" spans="1:12" x14ac:dyDescent="0.3">
      <c r="A1" s="4"/>
    </row>
    <row r="2" spans="1:12" ht="15" thickBot="1" x14ac:dyDescent="0.35">
      <c r="A2" s="4"/>
      <c r="C2" s="5" t="s">
        <v>1776</v>
      </c>
      <c r="D2" s="6"/>
      <c r="E2" s="6"/>
      <c r="F2" s="6"/>
      <c r="G2" s="6"/>
      <c r="H2" s="6"/>
      <c r="I2" s="6"/>
      <c r="J2" s="6"/>
      <c r="K2" s="6"/>
      <c r="L2" s="6"/>
    </row>
    <row r="3" spans="1:12" x14ac:dyDescent="0.3">
      <c r="A3" s="4"/>
    </row>
    <row r="4" spans="1:12" x14ac:dyDescent="0.3">
      <c r="A4" s="4"/>
      <c r="C4" s="2" t="s">
        <v>1771</v>
      </c>
      <c r="D4" t="s">
        <v>1778</v>
      </c>
      <c r="F4" s="2" t="s">
        <v>1771</v>
      </c>
      <c r="G4" t="s">
        <v>1779</v>
      </c>
      <c r="I4" s="2" t="s">
        <v>1771</v>
      </c>
      <c r="J4" t="s">
        <v>1780</v>
      </c>
    </row>
    <row r="5" spans="1:12" x14ac:dyDescent="0.3">
      <c r="A5" s="4"/>
      <c r="C5" s="3" t="s">
        <v>1774</v>
      </c>
      <c r="D5" s="1">
        <v>123648008</v>
      </c>
      <c r="F5" s="3" t="s">
        <v>1774</v>
      </c>
      <c r="G5" s="7">
        <v>0.15333333333333332</v>
      </c>
      <c r="I5" s="3" t="s">
        <v>1774</v>
      </c>
      <c r="J5" s="29">
        <v>92</v>
      </c>
    </row>
    <row r="6" spans="1:12" x14ac:dyDescent="0.3">
      <c r="A6" s="4"/>
      <c r="C6" s="3" t="s">
        <v>1773</v>
      </c>
      <c r="D6" s="1">
        <v>263275344</v>
      </c>
      <c r="F6" s="3" t="s">
        <v>1773</v>
      </c>
      <c r="G6" s="7">
        <v>0.32666666666666666</v>
      </c>
      <c r="I6" s="3" t="s">
        <v>1773</v>
      </c>
      <c r="J6" s="29">
        <v>196</v>
      </c>
    </row>
    <row r="7" spans="1:12" x14ac:dyDescent="0.3">
      <c r="A7" s="4"/>
      <c r="C7" s="3" t="s">
        <v>1772</v>
      </c>
      <c r="D7" s="1">
        <v>411681225</v>
      </c>
      <c r="F7" s="3" t="s">
        <v>1772</v>
      </c>
      <c r="G7" s="7">
        <v>0.52</v>
      </c>
      <c r="I7" s="3" t="s">
        <v>1772</v>
      </c>
      <c r="J7" s="29">
        <v>312</v>
      </c>
    </row>
    <row r="8" spans="1:12" x14ac:dyDescent="0.3">
      <c r="A8" s="4"/>
      <c r="C8" s="3" t="s">
        <v>1775</v>
      </c>
      <c r="D8" s="1">
        <v>798604577</v>
      </c>
      <c r="F8" s="3" t="s">
        <v>1775</v>
      </c>
      <c r="G8" s="7">
        <v>1</v>
      </c>
      <c r="I8" s="3" t="s">
        <v>1775</v>
      </c>
      <c r="J8" s="29">
        <v>600</v>
      </c>
    </row>
    <row r="9" spans="1:12" x14ac:dyDescent="0.3">
      <c r="A9" s="4"/>
    </row>
    <row r="10" spans="1:12" x14ac:dyDescent="0.3">
      <c r="A10" s="4"/>
      <c r="C10" s="2" t="s">
        <v>1771</v>
      </c>
      <c r="D10" t="s">
        <v>1781</v>
      </c>
      <c r="F10" s="2" t="s">
        <v>2294</v>
      </c>
      <c r="G10" t="s">
        <v>2293</v>
      </c>
      <c r="I10" s="2" t="s">
        <v>2288</v>
      </c>
      <c r="J10" t="s">
        <v>1782</v>
      </c>
    </row>
    <row r="11" spans="1:12" x14ac:dyDescent="0.3">
      <c r="A11" s="4"/>
      <c r="C11" s="3" t="s">
        <v>1774</v>
      </c>
      <c r="D11" s="7">
        <v>0.29048486730387391</v>
      </c>
      <c r="F11" s="3" t="s">
        <v>1784</v>
      </c>
      <c r="G11" s="1">
        <v>1976376</v>
      </c>
      <c r="I11" s="3" t="s">
        <v>1784</v>
      </c>
      <c r="J11" s="7">
        <v>0.12333333333333334</v>
      </c>
    </row>
    <row r="12" spans="1:12" x14ac:dyDescent="0.3">
      <c r="A12" s="4"/>
      <c r="C12" s="3" t="s">
        <v>1773</v>
      </c>
      <c r="D12" s="7">
        <v>1.0034135515629747</v>
      </c>
      <c r="F12" s="3" t="s">
        <v>1786</v>
      </c>
      <c r="G12" s="1">
        <v>7620726</v>
      </c>
      <c r="I12" s="3" t="s">
        <v>1786</v>
      </c>
      <c r="J12" s="7">
        <v>0.42</v>
      </c>
    </row>
    <row r="13" spans="1:12" x14ac:dyDescent="0.3">
      <c r="A13" s="4"/>
      <c r="C13" s="3" t="s">
        <v>1772</v>
      </c>
      <c r="D13" s="7">
        <v>1.2859985941495831</v>
      </c>
      <c r="F13" s="3" t="s">
        <v>1785</v>
      </c>
      <c r="G13" s="1">
        <v>596107</v>
      </c>
      <c r="I13" s="3" t="s">
        <v>1785</v>
      </c>
      <c r="J13" s="7">
        <v>0.12666666666666668</v>
      </c>
    </row>
    <row r="14" spans="1:12" x14ac:dyDescent="0.3">
      <c r="A14" s="4"/>
      <c r="C14" s="3" t="s">
        <v>1775</v>
      </c>
      <c r="D14" s="7">
        <v>1.0410420421216158</v>
      </c>
      <c r="F14" s="3" t="s">
        <v>2290</v>
      </c>
      <c r="G14" s="1">
        <v>110464</v>
      </c>
      <c r="I14" s="3" t="s">
        <v>2290</v>
      </c>
      <c r="J14" s="7">
        <v>2.6666666666666668E-2</v>
      </c>
    </row>
    <row r="15" spans="1:12" x14ac:dyDescent="0.3">
      <c r="A15" s="4"/>
      <c r="F15" s="3" t="s">
        <v>2291</v>
      </c>
      <c r="G15" s="1">
        <v>2991949</v>
      </c>
      <c r="I15" s="3" t="s">
        <v>2291</v>
      </c>
      <c r="J15" s="7">
        <v>0.20333333333333334</v>
      </c>
    </row>
    <row r="16" spans="1:12" x14ac:dyDescent="0.3">
      <c r="A16" s="4"/>
      <c r="F16" s="3" t="s">
        <v>2292</v>
      </c>
      <c r="G16" s="1">
        <v>1545750</v>
      </c>
      <c r="I16" s="3" t="s">
        <v>2292</v>
      </c>
      <c r="J16" s="7">
        <v>0.1</v>
      </c>
    </row>
    <row r="17" spans="1:10" x14ac:dyDescent="0.3">
      <c r="A17" s="4"/>
      <c r="F17" s="3" t="s">
        <v>1775</v>
      </c>
      <c r="G17" s="1">
        <v>14841372</v>
      </c>
      <c r="I17" s="3" t="s">
        <v>1775</v>
      </c>
      <c r="J17" s="7">
        <v>1</v>
      </c>
    </row>
    <row r="18" spans="1:10" x14ac:dyDescent="0.3">
      <c r="A18" s="4"/>
    </row>
    <row r="19" spans="1:10" x14ac:dyDescent="0.3">
      <c r="A19" s="4"/>
    </row>
    <row r="20" spans="1:10" x14ac:dyDescent="0.3">
      <c r="A20" s="4"/>
      <c r="C20" s="2" t="s">
        <v>1782</v>
      </c>
      <c r="D20" s="2" t="s">
        <v>2289</v>
      </c>
    </row>
    <row r="21" spans="1:10" x14ac:dyDescent="0.3">
      <c r="A21" s="4"/>
      <c r="C21" s="2" t="s">
        <v>2295</v>
      </c>
      <c r="D21" t="s">
        <v>1784</v>
      </c>
      <c r="E21" t="s">
        <v>1786</v>
      </c>
      <c r="F21" t="s">
        <v>1785</v>
      </c>
      <c r="G21" t="s">
        <v>2290</v>
      </c>
      <c r="H21" t="s">
        <v>2291</v>
      </c>
      <c r="I21" t="s">
        <v>2292</v>
      </c>
      <c r="J21" t="s">
        <v>1775</v>
      </c>
    </row>
    <row r="22" spans="1:10" x14ac:dyDescent="0.3">
      <c r="A22" s="4"/>
      <c r="C22" s="3" t="s">
        <v>2412</v>
      </c>
      <c r="D22" s="29">
        <v>13</v>
      </c>
      <c r="E22" s="29"/>
      <c r="F22" s="29"/>
      <c r="G22" s="29"/>
      <c r="H22" s="29">
        <v>75</v>
      </c>
      <c r="I22" s="29"/>
      <c r="J22" s="29">
        <v>88</v>
      </c>
    </row>
    <row r="23" spans="1:10" x14ac:dyDescent="0.3">
      <c r="A23" s="4"/>
      <c r="C23" s="3" t="s">
        <v>2413</v>
      </c>
      <c r="D23" s="29">
        <v>11</v>
      </c>
      <c r="E23" s="29">
        <v>3</v>
      </c>
      <c r="F23" s="29"/>
      <c r="G23" s="29">
        <v>3</v>
      </c>
      <c r="H23" s="29">
        <v>47</v>
      </c>
      <c r="I23" s="29">
        <v>60</v>
      </c>
      <c r="J23" s="29">
        <v>124</v>
      </c>
    </row>
    <row r="24" spans="1:10" x14ac:dyDescent="0.3">
      <c r="A24" s="4"/>
      <c r="C24" s="3" t="s">
        <v>2414</v>
      </c>
      <c r="D24" s="29">
        <v>11</v>
      </c>
      <c r="E24" s="29">
        <v>75</v>
      </c>
      <c r="F24" s="29">
        <v>16</v>
      </c>
      <c r="G24" s="29">
        <v>13</v>
      </c>
      <c r="H24" s="29"/>
      <c r="I24" s="29"/>
      <c r="J24" s="29">
        <v>115</v>
      </c>
    </row>
    <row r="25" spans="1:10" x14ac:dyDescent="0.3">
      <c r="A25" s="4"/>
      <c r="C25" s="3" t="s">
        <v>2415</v>
      </c>
      <c r="D25" s="29">
        <v>18</v>
      </c>
      <c r="E25" s="29">
        <v>69</v>
      </c>
      <c r="F25" s="29">
        <v>29</v>
      </c>
      <c r="G25" s="29"/>
      <c r="H25" s="29"/>
      <c r="I25" s="29"/>
      <c r="J25" s="29">
        <v>116</v>
      </c>
    </row>
    <row r="26" spans="1:10" x14ac:dyDescent="0.3">
      <c r="A26" s="4"/>
      <c r="C26" s="3" t="s">
        <v>2416</v>
      </c>
      <c r="D26" s="29">
        <v>13</v>
      </c>
      <c r="E26" s="29">
        <v>80</v>
      </c>
      <c r="F26" s="29">
        <v>20</v>
      </c>
      <c r="G26" s="29"/>
      <c r="H26" s="29"/>
      <c r="I26" s="29"/>
      <c r="J26" s="29">
        <v>113</v>
      </c>
    </row>
    <row r="27" spans="1:10" x14ac:dyDescent="0.3">
      <c r="A27" s="4"/>
      <c r="C27" s="3" t="s">
        <v>2417</v>
      </c>
      <c r="D27" s="29">
        <v>8</v>
      </c>
      <c r="E27" s="29">
        <v>25</v>
      </c>
      <c r="F27" s="29">
        <v>11</v>
      </c>
      <c r="G27" s="29"/>
      <c r="H27" s="29"/>
      <c r="I27" s="29"/>
      <c r="J27" s="29">
        <v>44</v>
      </c>
    </row>
    <row r="28" spans="1:10" x14ac:dyDescent="0.3">
      <c r="A28" s="4"/>
      <c r="C28" s="3" t="s">
        <v>1775</v>
      </c>
      <c r="D28" s="29">
        <v>74</v>
      </c>
      <c r="E28" s="29">
        <v>252</v>
      </c>
      <c r="F28" s="29">
        <v>76</v>
      </c>
      <c r="G28" s="29">
        <v>16</v>
      </c>
      <c r="H28" s="29">
        <v>122</v>
      </c>
      <c r="I28" s="29">
        <v>60</v>
      </c>
      <c r="J28" s="29">
        <v>600</v>
      </c>
    </row>
    <row r="29" spans="1:10" x14ac:dyDescent="0.3">
      <c r="A29" s="4"/>
    </row>
    <row r="30" spans="1:10" x14ac:dyDescent="0.3">
      <c r="A30" s="4"/>
    </row>
    <row r="31" spans="1:10" x14ac:dyDescent="0.3">
      <c r="A31" s="4"/>
    </row>
    <row r="32" spans="1:10" x14ac:dyDescent="0.3">
      <c r="A32" s="4"/>
    </row>
  </sheetData>
  <pageMargins left="0.7" right="0.7" top="0.75" bottom="0.75" header="0.3" footer="0.3"/>
  <drawing r:id="rId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21A64-62AE-4361-9B4E-8B9BDC806D40}">
  <sheetPr codeName="Sheet4"/>
  <dimension ref="A1:AA38"/>
  <sheetViews>
    <sheetView showGridLines="0" zoomScale="66" zoomScaleNormal="78" workbookViewId="0">
      <selection activeCell="Z8" sqref="Z8"/>
    </sheetView>
  </sheetViews>
  <sheetFormatPr defaultRowHeight="14.4" x14ac:dyDescent="0.3"/>
  <cols>
    <col min="1" max="1" width="15.6640625" customWidth="1"/>
    <col min="3" max="3" width="15.109375" bestFit="1" customWidth="1"/>
    <col min="7" max="8" width="9" bestFit="1" customWidth="1"/>
    <col min="15" max="15" width="9" bestFit="1" customWidth="1"/>
  </cols>
  <sheetData>
    <row r="1" spans="1:27" x14ac:dyDescent="0.3">
      <c r="A1" s="4"/>
      <c r="B1" s="8"/>
      <c r="C1" s="8"/>
      <c r="D1" s="8"/>
      <c r="E1" s="8"/>
      <c r="F1" s="8"/>
      <c r="G1" s="8"/>
      <c r="H1" s="8"/>
      <c r="I1" s="8"/>
      <c r="J1" s="8"/>
      <c r="K1" s="8"/>
      <c r="L1" s="8"/>
      <c r="M1" s="8"/>
      <c r="N1" s="8"/>
      <c r="O1" s="8"/>
      <c r="P1" s="8"/>
      <c r="Q1" s="8"/>
      <c r="R1" s="8"/>
      <c r="S1" s="8"/>
      <c r="T1" s="8"/>
      <c r="U1" s="8"/>
      <c r="V1" s="8"/>
      <c r="W1" s="8"/>
      <c r="X1" s="8"/>
    </row>
    <row r="2" spans="1:27" x14ac:dyDescent="0.3">
      <c r="A2" s="4"/>
      <c r="B2" s="8"/>
      <c r="C2" s="8"/>
      <c r="D2" s="8"/>
      <c r="E2" s="8"/>
      <c r="F2" s="8"/>
      <c r="G2" s="8"/>
      <c r="H2" s="8"/>
      <c r="I2" s="8"/>
      <c r="J2" s="8"/>
      <c r="K2" s="8"/>
      <c r="L2" s="8"/>
      <c r="M2" s="8"/>
      <c r="N2" s="8"/>
      <c r="O2" s="8"/>
      <c r="P2" s="8"/>
      <c r="Q2" s="8"/>
      <c r="R2" s="8"/>
      <c r="S2" s="8"/>
      <c r="T2" s="8"/>
      <c r="U2" s="8"/>
      <c r="V2" s="8"/>
      <c r="W2" s="8"/>
      <c r="X2" s="8"/>
    </row>
    <row r="3" spans="1:27" ht="15" x14ac:dyDescent="0.3">
      <c r="A3" s="4"/>
      <c r="B3" s="8"/>
      <c r="C3" s="8"/>
      <c r="D3" s="8"/>
      <c r="E3" s="8"/>
      <c r="F3" s="8"/>
      <c r="G3" s="9"/>
      <c r="H3" s="8"/>
      <c r="I3" s="8"/>
      <c r="J3" s="8"/>
      <c r="K3" s="8"/>
      <c r="L3" s="8"/>
      <c r="M3" s="8"/>
      <c r="N3" s="8"/>
      <c r="O3" s="8"/>
      <c r="P3" s="8"/>
      <c r="Q3" s="8"/>
      <c r="R3" s="8"/>
      <c r="S3" s="8"/>
      <c r="T3" s="8"/>
      <c r="U3" s="8"/>
      <c r="V3" s="8"/>
      <c r="W3" s="8"/>
      <c r="X3" s="8"/>
    </row>
    <row r="4" spans="1:27" ht="25.8" x14ac:dyDescent="0.3">
      <c r="A4" s="4"/>
      <c r="B4" s="8"/>
      <c r="C4" s="8"/>
      <c r="D4" s="8"/>
      <c r="E4" s="8"/>
      <c r="F4" s="8"/>
      <c r="G4" s="8"/>
      <c r="H4" s="8"/>
      <c r="I4" s="8"/>
      <c r="J4" s="8"/>
      <c r="K4" s="8"/>
      <c r="L4" s="8"/>
      <c r="M4" s="8"/>
      <c r="N4" s="12"/>
      <c r="O4" s="8"/>
      <c r="P4" s="8"/>
      <c r="Q4" s="8"/>
      <c r="R4" s="8"/>
      <c r="S4" s="8"/>
      <c r="T4" s="8"/>
      <c r="U4" s="8"/>
      <c r="V4" s="8"/>
      <c r="W4" s="8"/>
      <c r="X4" s="8"/>
    </row>
    <row r="5" spans="1:27" x14ac:dyDescent="0.3">
      <c r="A5" s="4"/>
      <c r="B5" s="8"/>
      <c r="C5" s="8"/>
      <c r="D5" s="8"/>
      <c r="E5" s="8"/>
      <c r="F5" s="8"/>
      <c r="G5" s="8"/>
      <c r="H5" s="8"/>
      <c r="I5" s="8"/>
      <c r="J5" s="8"/>
      <c r="K5" s="8"/>
      <c r="L5" s="8"/>
      <c r="M5" s="8"/>
      <c r="N5" s="8"/>
      <c r="O5" s="8"/>
      <c r="P5" s="8"/>
      <c r="Q5" s="8"/>
      <c r="R5" s="8"/>
      <c r="S5" s="8"/>
      <c r="T5" s="8"/>
      <c r="U5" s="8"/>
      <c r="V5" s="8"/>
      <c r="W5" s="8"/>
      <c r="X5" s="8"/>
    </row>
    <row r="6" spans="1:27" x14ac:dyDescent="0.3">
      <c r="A6" s="4"/>
      <c r="B6" s="8"/>
      <c r="C6" s="10">
        <f>GETPIVOTDATA("Loan_Amount",pivot_tables!$C$4,"Decision","Approved")</f>
        <v>123648008</v>
      </c>
      <c r="D6" s="8"/>
      <c r="E6" s="8"/>
      <c r="F6" s="8"/>
      <c r="G6" s="8"/>
      <c r="H6" s="8"/>
      <c r="I6" s="8"/>
      <c r="J6" s="8"/>
      <c r="K6" s="8"/>
      <c r="L6" s="8"/>
      <c r="M6" s="8"/>
      <c r="N6" s="8"/>
      <c r="O6" s="8"/>
      <c r="P6" s="8"/>
      <c r="Q6" s="8"/>
      <c r="R6" s="8"/>
      <c r="S6" s="8"/>
      <c r="T6" s="8"/>
      <c r="U6" s="8"/>
      <c r="V6" s="8"/>
      <c r="W6" s="8"/>
      <c r="X6" s="8"/>
    </row>
    <row r="7" spans="1:27" x14ac:dyDescent="0.3">
      <c r="A7" s="4"/>
      <c r="B7" s="8"/>
      <c r="C7" s="8"/>
      <c r="D7" s="8"/>
      <c r="E7" s="8"/>
      <c r="F7" s="8"/>
      <c r="G7" s="11">
        <f>pivot_tables!G5</f>
        <v>0.15333333333333332</v>
      </c>
      <c r="H7" s="8">
        <f>GETPIVOTDATA("ID",pivot_tables!$I$4)</f>
        <v>600</v>
      </c>
      <c r="I7" s="8"/>
      <c r="J7" s="8"/>
      <c r="K7" s="8"/>
      <c r="L7" s="8"/>
      <c r="M7" s="8"/>
      <c r="N7" s="8"/>
      <c r="O7" s="8"/>
      <c r="P7" s="8"/>
      <c r="Q7" s="8"/>
      <c r="R7" s="8"/>
      <c r="S7" s="8"/>
      <c r="T7" s="8"/>
      <c r="U7" s="8"/>
      <c r="V7" s="8"/>
      <c r="W7" s="8"/>
      <c r="X7" s="8"/>
    </row>
    <row r="8" spans="1:27" x14ac:dyDescent="0.3">
      <c r="A8" s="4"/>
      <c r="B8" s="8"/>
      <c r="C8" s="8"/>
      <c r="D8" s="8"/>
      <c r="E8" s="8"/>
      <c r="F8" s="8"/>
      <c r="G8" s="8"/>
      <c r="H8" s="8"/>
      <c r="I8" s="8"/>
      <c r="J8" s="8"/>
      <c r="K8" s="8"/>
      <c r="L8" s="8"/>
      <c r="M8" s="8"/>
      <c r="N8" s="8"/>
      <c r="O8" s="11">
        <f>GETPIVOTDATA("DTI Ratio",pivot_tables!$C$10,"Decision","Approved")</f>
        <v>0.29048486730387391</v>
      </c>
      <c r="P8" s="8"/>
      <c r="Q8" s="8"/>
      <c r="R8" s="8"/>
      <c r="S8" s="8"/>
      <c r="T8" s="8"/>
      <c r="U8" s="8"/>
      <c r="V8" s="8"/>
      <c r="W8" s="8"/>
      <c r="X8" s="8"/>
    </row>
    <row r="9" spans="1:27" x14ac:dyDescent="0.3">
      <c r="A9" s="4"/>
      <c r="B9" s="8"/>
      <c r="C9" s="8"/>
      <c r="D9" s="8"/>
      <c r="E9" s="8"/>
      <c r="F9" s="8"/>
      <c r="G9" s="8"/>
      <c r="H9" s="8"/>
      <c r="I9" s="8"/>
      <c r="J9" s="8"/>
      <c r="K9" s="8"/>
      <c r="L9" s="8"/>
      <c r="M9" s="8"/>
      <c r="N9" s="8"/>
      <c r="O9" s="8"/>
      <c r="P9" s="8"/>
      <c r="Q9" s="8"/>
      <c r="R9" s="8"/>
      <c r="S9" s="8"/>
      <c r="T9" s="8"/>
      <c r="U9" s="8"/>
      <c r="V9" s="8"/>
      <c r="W9" s="8"/>
      <c r="X9" s="8"/>
    </row>
    <row r="10" spans="1:27" x14ac:dyDescent="0.3">
      <c r="A10" s="4"/>
      <c r="B10" s="8"/>
      <c r="C10" s="8"/>
      <c r="D10" s="8"/>
      <c r="E10" s="8"/>
      <c r="F10" s="8"/>
      <c r="G10" s="8"/>
      <c r="H10" s="8"/>
      <c r="I10" s="8"/>
      <c r="J10" s="8"/>
      <c r="K10" s="8"/>
      <c r="L10" s="8"/>
      <c r="M10" s="8"/>
      <c r="N10" s="8"/>
      <c r="O10" s="8"/>
      <c r="P10" s="8"/>
      <c r="Q10" s="8"/>
      <c r="R10" s="8"/>
      <c r="S10" s="8"/>
      <c r="T10" s="8"/>
      <c r="U10" s="8"/>
      <c r="V10" s="8"/>
      <c r="W10" s="8"/>
      <c r="X10" s="8"/>
    </row>
    <row r="11" spans="1:27" x14ac:dyDescent="0.3">
      <c r="A11" s="4"/>
      <c r="B11" s="8"/>
      <c r="C11" s="8"/>
      <c r="D11" s="8"/>
      <c r="E11" s="8"/>
      <c r="F11" s="8"/>
      <c r="G11" s="8"/>
      <c r="H11" s="8"/>
      <c r="I11" s="8"/>
      <c r="J11" s="8"/>
      <c r="K11" s="8"/>
      <c r="L11" s="8"/>
      <c r="M11" s="8"/>
      <c r="N11" s="8"/>
      <c r="O11" s="8"/>
      <c r="P11" s="8"/>
      <c r="Q11" s="8"/>
      <c r="R11" s="8"/>
      <c r="S11" s="8"/>
      <c r="T11" s="8"/>
      <c r="U11" s="8"/>
      <c r="V11" s="8"/>
      <c r="W11" s="8"/>
      <c r="X11" s="8"/>
    </row>
    <row r="12" spans="1:27" x14ac:dyDescent="0.3">
      <c r="A12" s="4"/>
      <c r="B12" s="8"/>
      <c r="C12" s="8"/>
      <c r="D12" s="8"/>
      <c r="E12" s="8"/>
      <c r="F12" s="8"/>
      <c r="G12" s="8"/>
      <c r="H12" s="8"/>
      <c r="I12" s="8"/>
      <c r="J12" s="8"/>
      <c r="K12" s="8"/>
      <c r="L12" s="8"/>
      <c r="M12" s="8"/>
      <c r="N12" s="8"/>
      <c r="O12" s="8"/>
      <c r="P12" s="8"/>
      <c r="Q12" s="8"/>
      <c r="R12" s="8"/>
      <c r="S12" s="8"/>
      <c r="T12" s="8"/>
      <c r="U12" s="8"/>
      <c r="V12" s="8"/>
      <c r="W12" s="8"/>
      <c r="X12" s="8"/>
    </row>
    <row r="13" spans="1:27" x14ac:dyDescent="0.3">
      <c r="A13" s="4"/>
      <c r="B13" s="8"/>
      <c r="C13" s="8"/>
      <c r="D13" s="8"/>
      <c r="E13" s="8"/>
      <c r="F13" s="8"/>
      <c r="G13" s="8"/>
      <c r="H13" s="8"/>
      <c r="I13" s="8"/>
      <c r="J13" s="8"/>
      <c r="K13" s="8"/>
      <c r="L13" s="8"/>
      <c r="M13" s="8"/>
      <c r="N13" s="8"/>
      <c r="O13" s="8"/>
      <c r="P13" s="8"/>
      <c r="Q13" s="8"/>
      <c r="R13" s="8"/>
      <c r="S13" s="8"/>
      <c r="T13" s="8"/>
      <c r="U13" s="8"/>
      <c r="V13" s="8"/>
      <c r="W13" s="8"/>
      <c r="X13" s="8"/>
      <c r="AA13" t="s">
        <v>2307</v>
      </c>
    </row>
    <row r="14" spans="1:27" x14ac:dyDescent="0.3">
      <c r="A14" s="4"/>
      <c r="B14" s="8"/>
      <c r="C14" s="8"/>
      <c r="D14" s="8"/>
      <c r="E14" s="8"/>
      <c r="F14" s="8"/>
      <c r="G14" s="8"/>
      <c r="H14" s="8"/>
      <c r="I14" s="8"/>
      <c r="J14" s="8"/>
      <c r="K14" s="8"/>
      <c r="L14" s="8"/>
      <c r="M14" s="8"/>
      <c r="N14" s="8"/>
      <c r="O14" s="8"/>
      <c r="P14" s="8"/>
      <c r="Q14" s="8"/>
      <c r="R14" s="8"/>
      <c r="S14" s="8"/>
      <c r="T14" s="8"/>
      <c r="U14" s="8"/>
      <c r="V14" s="8"/>
      <c r="W14" s="8"/>
      <c r="X14" s="8"/>
    </row>
    <row r="15" spans="1:27" x14ac:dyDescent="0.3">
      <c r="A15" s="4"/>
      <c r="B15" s="8"/>
      <c r="C15" s="8"/>
      <c r="D15" s="8"/>
      <c r="E15" s="8"/>
      <c r="F15" s="8"/>
      <c r="G15" s="8"/>
      <c r="H15" s="8"/>
      <c r="I15" s="8"/>
      <c r="J15" s="8"/>
      <c r="K15" s="8"/>
      <c r="L15" s="8"/>
      <c r="M15" s="8"/>
      <c r="N15" s="8"/>
      <c r="O15" s="8"/>
      <c r="P15" s="8"/>
      <c r="Q15" s="8"/>
      <c r="R15" s="8"/>
      <c r="S15" s="8"/>
      <c r="T15" s="8"/>
      <c r="U15" s="8"/>
      <c r="V15" s="8"/>
      <c r="W15" s="8"/>
      <c r="X15" s="8"/>
    </row>
    <row r="16" spans="1:27" x14ac:dyDescent="0.3">
      <c r="A16" s="4"/>
      <c r="B16" s="8"/>
      <c r="C16" s="8"/>
      <c r="D16" s="8"/>
      <c r="E16" s="8"/>
      <c r="F16" s="8"/>
      <c r="G16" s="8"/>
      <c r="H16" s="8"/>
      <c r="I16" s="8"/>
      <c r="J16" s="8"/>
      <c r="K16" s="8"/>
      <c r="L16" s="8"/>
      <c r="M16" s="8"/>
      <c r="N16" s="8"/>
      <c r="O16" s="8"/>
      <c r="P16" s="8"/>
      <c r="Q16" s="8"/>
      <c r="R16" s="8"/>
      <c r="S16" s="8"/>
      <c r="T16" s="8"/>
      <c r="U16" s="8"/>
      <c r="V16" s="8"/>
      <c r="W16" s="8"/>
      <c r="X16" s="8"/>
    </row>
    <row r="17" spans="1:24" x14ac:dyDescent="0.3">
      <c r="A17" s="4"/>
      <c r="B17" s="8"/>
      <c r="C17" s="8"/>
      <c r="D17" s="8"/>
      <c r="E17" s="8"/>
      <c r="F17" s="8"/>
      <c r="G17" s="8"/>
      <c r="H17" s="8"/>
      <c r="I17" s="8"/>
      <c r="J17" s="8"/>
      <c r="K17" s="8"/>
      <c r="L17" s="8"/>
      <c r="M17" s="8"/>
      <c r="N17" s="8"/>
      <c r="O17" s="8"/>
      <c r="P17" s="8"/>
      <c r="Q17" s="8"/>
      <c r="R17" s="8"/>
      <c r="S17" s="8"/>
      <c r="T17" s="8"/>
      <c r="U17" s="8"/>
      <c r="V17" s="8"/>
      <c r="W17" s="8"/>
      <c r="X17" s="8"/>
    </row>
    <row r="18" spans="1:24" x14ac:dyDescent="0.3">
      <c r="A18" s="4"/>
      <c r="B18" s="8"/>
      <c r="C18" s="8"/>
      <c r="D18" s="8"/>
      <c r="E18" s="8"/>
      <c r="F18" s="8"/>
      <c r="G18" s="8"/>
      <c r="H18" s="8"/>
      <c r="I18" s="8"/>
      <c r="J18" s="8"/>
      <c r="K18" s="8"/>
      <c r="L18" s="8"/>
      <c r="M18" s="8"/>
      <c r="N18" s="8"/>
      <c r="O18" s="8"/>
      <c r="P18" s="8"/>
      <c r="Q18" s="8"/>
      <c r="R18" s="8"/>
      <c r="S18" s="8"/>
      <c r="T18" s="8"/>
      <c r="U18" s="8"/>
      <c r="V18" s="8"/>
      <c r="W18" s="8"/>
      <c r="X18" s="8"/>
    </row>
    <row r="19" spans="1:24" x14ac:dyDescent="0.3">
      <c r="A19" s="4"/>
      <c r="B19" s="8"/>
      <c r="C19" s="8"/>
      <c r="D19" s="8"/>
      <c r="E19" s="8"/>
      <c r="F19" s="8"/>
      <c r="G19" s="8"/>
      <c r="H19" s="8"/>
      <c r="I19" s="8"/>
      <c r="J19" s="8"/>
      <c r="K19" s="8"/>
      <c r="L19" s="8"/>
      <c r="M19" s="8"/>
      <c r="N19" s="8"/>
      <c r="O19" s="8"/>
      <c r="P19" s="8"/>
      <c r="Q19" s="8"/>
      <c r="R19" s="8"/>
      <c r="S19" s="8"/>
      <c r="T19" s="8"/>
      <c r="U19" s="8"/>
      <c r="V19" s="8"/>
      <c r="W19" s="8"/>
      <c r="X19" s="8"/>
    </row>
    <row r="20" spans="1:24" x14ac:dyDescent="0.3">
      <c r="A20" s="4"/>
      <c r="B20" s="8"/>
      <c r="C20" s="8"/>
      <c r="D20" s="8"/>
      <c r="E20" s="8"/>
      <c r="F20" s="8"/>
      <c r="G20" s="8"/>
      <c r="H20" s="8"/>
      <c r="I20" s="8"/>
      <c r="J20" s="8"/>
      <c r="K20" s="8"/>
      <c r="L20" s="8"/>
      <c r="M20" s="8"/>
      <c r="N20" s="8"/>
      <c r="O20" s="8"/>
      <c r="P20" s="8"/>
      <c r="Q20" s="8"/>
      <c r="R20" s="8"/>
      <c r="S20" s="8"/>
      <c r="T20" s="8"/>
      <c r="U20" s="8"/>
      <c r="V20" s="8"/>
      <c r="W20" s="8"/>
      <c r="X20" s="8"/>
    </row>
    <row r="21" spans="1:24" x14ac:dyDescent="0.3">
      <c r="A21" s="4"/>
      <c r="B21" s="8"/>
      <c r="C21" s="8"/>
      <c r="D21" s="8"/>
      <c r="E21" s="8"/>
      <c r="F21" s="8"/>
      <c r="G21" s="8"/>
      <c r="H21" s="8"/>
      <c r="I21" s="8"/>
      <c r="J21" s="8"/>
      <c r="K21" s="8"/>
      <c r="L21" s="8"/>
      <c r="M21" s="8"/>
      <c r="N21" s="8"/>
      <c r="O21" s="8"/>
      <c r="P21" s="8"/>
      <c r="Q21" s="8"/>
      <c r="R21" s="8"/>
      <c r="S21" s="8"/>
      <c r="T21" s="8"/>
      <c r="U21" s="8"/>
      <c r="V21" s="8"/>
      <c r="W21" s="8"/>
      <c r="X21" s="8"/>
    </row>
    <row r="22" spans="1:24" x14ac:dyDescent="0.3">
      <c r="A22" s="4"/>
      <c r="B22" s="8"/>
      <c r="C22" s="8"/>
      <c r="D22" s="8"/>
      <c r="E22" s="8"/>
      <c r="F22" s="8"/>
      <c r="G22" s="8"/>
      <c r="H22" s="8"/>
      <c r="I22" s="8"/>
      <c r="J22" s="8"/>
      <c r="K22" s="8"/>
      <c r="L22" s="8"/>
      <c r="M22" s="8"/>
      <c r="N22" s="8"/>
      <c r="O22" s="8"/>
      <c r="P22" s="8"/>
      <c r="Q22" s="8"/>
      <c r="R22" s="8"/>
      <c r="S22" s="8"/>
      <c r="T22" s="8"/>
      <c r="U22" s="8"/>
      <c r="V22" s="8"/>
      <c r="W22" s="8"/>
      <c r="X22" s="8"/>
    </row>
    <row r="23" spans="1:24" x14ac:dyDescent="0.3">
      <c r="A23" s="4"/>
      <c r="B23" s="8"/>
      <c r="C23" s="8"/>
      <c r="D23" s="8"/>
      <c r="E23" s="8"/>
      <c r="F23" s="8"/>
      <c r="G23" s="8"/>
      <c r="H23" s="8"/>
      <c r="I23" s="8"/>
      <c r="J23" s="8"/>
      <c r="K23" s="8"/>
      <c r="L23" s="8"/>
      <c r="M23" s="8"/>
      <c r="N23" s="8"/>
      <c r="O23" s="8"/>
      <c r="P23" s="8"/>
      <c r="Q23" s="8"/>
      <c r="R23" s="8"/>
      <c r="S23" s="8"/>
      <c r="T23" s="8"/>
      <c r="U23" s="8"/>
      <c r="V23" s="8"/>
      <c r="W23" s="8"/>
      <c r="X23" s="8"/>
    </row>
    <row r="24" spans="1:24" x14ac:dyDescent="0.3">
      <c r="A24" s="4"/>
      <c r="B24" s="8"/>
      <c r="C24" s="8"/>
      <c r="D24" s="8"/>
      <c r="E24" s="8"/>
      <c r="F24" s="8"/>
      <c r="G24" s="8"/>
      <c r="H24" s="8"/>
      <c r="I24" s="8"/>
      <c r="J24" s="8"/>
      <c r="K24" s="8"/>
      <c r="L24" s="8"/>
      <c r="M24" s="8"/>
      <c r="N24" s="8"/>
      <c r="O24" s="8"/>
      <c r="P24" s="8"/>
      <c r="Q24" s="8"/>
      <c r="R24" s="8"/>
      <c r="S24" s="8"/>
      <c r="T24" s="8"/>
      <c r="U24" s="8"/>
      <c r="V24" s="8"/>
      <c r="W24" s="8"/>
      <c r="X24" s="8"/>
    </row>
    <row r="25" spans="1:24" x14ac:dyDescent="0.3">
      <c r="A25" s="4"/>
      <c r="B25" s="8"/>
      <c r="C25" s="8"/>
      <c r="D25" s="8"/>
      <c r="E25" s="8"/>
      <c r="F25" s="8"/>
      <c r="G25" s="8"/>
      <c r="H25" s="8"/>
      <c r="I25" s="8"/>
      <c r="J25" s="8"/>
      <c r="K25" s="8"/>
      <c r="L25" s="8"/>
      <c r="M25" s="8"/>
      <c r="N25" s="8"/>
      <c r="O25" s="8"/>
      <c r="P25" s="8"/>
      <c r="Q25" s="8"/>
      <c r="R25" s="8"/>
      <c r="S25" s="8"/>
      <c r="T25" s="8"/>
      <c r="U25" s="8"/>
      <c r="V25" s="8"/>
      <c r="W25" s="8"/>
      <c r="X25" s="8"/>
    </row>
    <row r="26" spans="1:24" x14ac:dyDescent="0.3">
      <c r="A26" s="4"/>
      <c r="B26" s="8"/>
      <c r="C26" s="8"/>
      <c r="D26" s="8"/>
      <c r="E26" s="8"/>
      <c r="F26" s="8"/>
      <c r="G26" s="8"/>
      <c r="H26" s="8"/>
      <c r="I26" s="8"/>
      <c r="J26" s="8"/>
      <c r="K26" s="8"/>
      <c r="L26" s="8"/>
      <c r="M26" s="8"/>
      <c r="N26" s="8"/>
      <c r="O26" s="8"/>
      <c r="P26" s="8"/>
      <c r="Q26" s="8"/>
      <c r="R26" s="8"/>
      <c r="S26" s="8"/>
      <c r="T26" s="8"/>
      <c r="U26" s="8"/>
      <c r="V26" s="8"/>
      <c r="W26" s="8"/>
      <c r="X26" s="8"/>
    </row>
    <row r="27" spans="1:24" x14ac:dyDescent="0.3">
      <c r="A27" s="4"/>
      <c r="B27" s="8"/>
      <c r="C27" s="8"/>
      <c r="D27" s="8"/>
      <c r="E27" s="8"/>
      <c r="F27" s="8"/>
      <c r="G27" s="8"/>
      <c r="H27" s="8"/>
      <c r="I27" s="8"/>
      <c r="J27" s="8"/>
      <c r="K27" s="8"/>
      <c r="L27" s="8"/>
      <c r="M27" s="8"/>
      <c r="N27" s="8"/>
      <c r="O27" s="8"/>
      <c r="P27" s="8"/>
      <c r="Q27" s="8"/>
      <c r="R27" s="8"/>
      <c r="S27" s="8"/>
      <c r="T27" s="8"/>
      <c r="U27" s="8"/>
      <c r="V27" s="8"/>
      <c r="W27" s="8"/>
      <c r="X27" s="8"/>
    </row>
    <row r="28" spans="1:24" x14ac:dyDescent="0.3">
      <c r="A28" s="4"/>
      <c r="B28" s="8"/>
      <c r="C28" s="8"/>
      <c r="D28" s="8"/>
      <c r="E28" s="8"/>
      <c r="F28" s="8"/>
      <c r="G28" s="8"/>
      <c r="H28" s="8"/>
      <c r="I28" s="8"/>
      <c r="J28" s="8"/>
      <c r="K28" s="8"/>
      <c r="L28" s="8"/>
      <c r="M28" s="8"/>
      <c r="N28" s="8"/>
      <c r="O28" s="8"/>
      <c r="P28" s="8"/>
      <c r="Q28" s="8"/>
      <c r="R28" s="8"/>
      <c r="S28" s="8"/>
      <c r="T28" s="8"/>
      <c r="U28" s="8"/>
      <c r="V28" s="8"/>
      <c r="W28" s="8"/>
      <c r="X28" s="8"/>
    </row>
    <row r="29" spans="1:24" x14ac:dyDescent="0.3">
      <c r="A29" s="4"/>
      <c r="B29" s="8"/>
      <c r="C29" s="8"/>
      <c r="D29" s="8"/>
      <c r="E29" s="8"/>
      <c r="F29" s="8"/>
      <c r="G29" s="8"/>
      <c r="H29" s="8"/>
      <c r="I29" s="8"/>
      <c r="J29" s="8"/>
      <c r="K29" s="8"/>
      <c r="L29" s="8"/>
      <c r="M29" s="8"/>
      <c r="N29" s="8"/>
      <c r="O29" s="8"/>
      <c r="P29" s="8"/>
      <c r="Q29" s="8"/>
      <c r="R29" s="8"/>
      <c r="S29" s="8"/>
      <c r="T29" s="8"/>
      <c r="U29" s="8"/>
      <c r="V29" s="8"/>
      <c r="W29" s="8"/>
      <c r="X29" s="8"/>
    </row>
    <row r="30" spans="1:24" x14ac:dyDescent="0.3">
      <c r="A30" s="4"/>
      <c r="B30" s="8"/>
      <c r="C30" s="8"/>
      <c r="D30" s="8"/>
      <c r="E30" s="8"/>
      <c r="F30" s="8"/>
      <c r="G30" s="8"/>
      <c r="H30" s="8"/>
      <c r="I30" s="8"/>
      <c r="J30" s="8"/>
      <c r="K30" s="8"/>
      <c r="L30" s="8"/>
      <c r="M30" s="8"/>
      <c r="N30" s="8"/>
      <c r="O30" s="8"/>
      <c r="P30" s="8"/>
      <c r="Q30" s="8"/>
      <c r="R30" s="8"/>
      <c r="S30" s="8"/>
      <c r="T30" s="8"/>
      <c r="U30" s="8"/>
      <c r="V30" s="8"/>
      <c r="W30" s="8"/>
      <c r="X30" s="8"/>
    </row>
    <row r="31" spans="1:24" x14ac:dyDescent="0.3">
      <c r="A31" s="4"/>
      <c r="B31" s="8"/>
      <c r="C31" s="8"/>
      <c r="D31" s="8"/>
      <c r="E31" s="8"/>
      <c r="F31" s="8"/>
      <c r="G31" s="8"/>
      <c r="H31" s="8"/>
      <c r="I31" s="8"/>
      <c r="J31" s="8"/>
      <c r="K31" s="8"/>
      <c r="L31" s="8"/>
      <c r="M31" s="8"/>
      <c r="N31" s="8"/>
      <c r="O31" s="8"/>
      <c r="P31" s="8"/>
      <c r="Q31" s="8"/>
      <c r="R31" s="8"/>
      <c r="S31" s="8"/>
      <c r="T31" s="8"/>
      <c r="U31" s="8"/>
      <c r="V31" s="8"/>
      <c r="W31" s="8"/>
      <c r="X31" s="8"/>
    </row>
    <row r="32" spans="1:24" x14ac:dyDescent="0.3">
      <c r="A32" s="4"/>
      <c r="B32" s="8"/>
      <c r="C32" s="8"/>
      <c r="D32" s="8"/>
      <c r="E32" s="8"/>
      <c r="F32" s="8"/>
      <c r="G32" s="8"/>
      <c r="H32" s="8"/>
      <c r="I32" s="8"/>
      <c r="J32" s="8"/>
      <c r="K32" s="8"/>
      <c r="L32" s="8"/>
      <c r="M32" s="8"/>
      <c r="N32" s="8"/>
      <c r="O32" s="8"/>
      <c r="P32" s="8"/>
      <c r="Q32" s="8"/>
      <c r="R32" s="8"/>
      <c r="S32" s="8"/>
      <c r="T32" s="8"/>
      <c r="U32" s="8"/>
      <c r="V32" s="8"/>
      <c r="W32" s="8"/>
      <c r="X32" s="8"/>
    </row>
    <row r="33" spans="1:24" x14ac:dyDescent="0.3">
      <c r="A33" s="4"/>
      <c r="B33" s="8"/>
      <c r="C33" s="8"/>
      <c r="D33" s="8"/>
      <c r="E33" s="8"/>
      <c r="F33" s="8"/>
      <c r="G33" s="8"/>
      <c r="H33" s="8"/>
      <c r="I33" s="8"/>
      <c r="J33" s="8"/>
      <c r="K33" s="8"/>
      <c r="L33" s="8"/>
      <c r="M33" s="8"/>
      <c r="N33" s="8"/>
      <c r="O33" s="8"/>
      <c r="P33" s="8"/>
      <c r="Q33" s="8"/>
      <c r="R33" s="8"/>
      <c r="S33" s="8"/>
      <c r="T33" s="8"/>
      <c r="U33" s="8"/>
      <c r="V33" s="8"/>
      <c r="W33" s="8"/>
      <c r="X33" s="8"/>
    </row>
    <row r="34" spans="1:24" x14ac:dyDescent="0.3">
      <c r="A34" s="4"/>
      <c r="B34" s="8"/>
      <c r="C34" s="8"/>
      <c r="D34" s="8"/>
      <c r="E34" s="8"/>
      <c r="F34" s="8"/>
      <c r="G34" s="8"/>
      <c r="H34" s="8"/>
      <c r="I34" s="8"/>
      <c r="J34" s="8"/>
      <c r="K34" s="8"/>
      <c r="L34" s="8"/>
      <c r="M34" s="8"/>
      <c r="N34" s="8"/>
      <c r="O34" s="8"/>
      <c r="P34" s="8"/>
      <c r="Q34" s="8"/>
      <c r="R34" s="8"/>
      <c r="S34" s="8"/>
      <c r="T34" s="8"/>
      <c r="U34" s="8"/>
      <c r="V34" s="8"/>
      <c r="W34" s="8"/>
      <c r="X34" s="8"/>
    </row>
    <row r="35" spans="1:24" x14ac:dyDescent="0.3">
      <c r="A35" s="13"/>
      <c r="B35" s="13"/>
      <c r="C35" s="13"/>
      <c r="D35" s="13"/>
      <c r="E35" s="13"/>
      <c r="F35" s="13"/>
      <c r="G35" s="13"/>
      <c r="H35" s="13"/>
      <c r="I35" s="13"/>
      <c r="J35" s="13"/>
      <c r="K35" s="13"/>
      <c r="L35" s="13"/>
      <c r="M35" s="13"/>
      <c r="N35" s="13"/>
      <c r="O35" s="13"/>
      <c r="P35" s="13"/>
      <c r="Q35" s="13"/>
      <c r="R35" s="13"/>
      <c r="S35" s="13"/>
      <c r="T35" s="13"/>
      <c r="U35" s="13"/>
      <c r="V35" s="13"/>
      <c r="W35" s="13"/>
      <c r="X35" s="13"/>
    </row>
    <row r="36" spans="1:24" x14ac:dyDescent="0.3">
      <c r="A36" s="13"/>
      <c r="B36" s="13"/>
      <c r="C36" s="13"/>
      <c r="D36" s="13"/>
      <c r="E36" s="13"/>
      <c r="F36" s="13"/>
      <c r="G36" s="13"/>
      <c r="H36" s="13"/>
      <c r="I36" s="13"/>
      <c r="J36" s="13"/>
      <c r="K36" s="13"/>
      <c r="L36" s="13"/>
      <c r="M36" s="13"/>
      <c r="N36" s="13"/>
      <c r="O36" s="13"/>
      <c r="P36" s="13"/>
      <c r="Q36" s="13"/>
      <c r="R36" s="13"/>
      <c r="S36" s="13"/>
      <c r="T36" s="13"/>
      <c r="U36" s="13"/>
      <c r="V36" s="13"/>
      <c r="W36" s="13"/>
      <c r="X36" s="13"/>
    </row>
    <row r="37" spans="1:24" x14ac:dyDescent="0.3">
      <c r="A37" s="13"/>
      <c r="B37" s="13"/>
      <c r="C37" s="13"/>
      <c r="D37" s="13"/>
      <c r="E37" s="13"/>
      <c r="F37" s="13"/>
      <c r="G37" s="13"/>
      <c r="H37" s="13"/>
      <c r="I37" s="13"/>
      <c r="J37" s="13"/>
      <c r="K37" s="13"/>
      <c r="L37" s="13"/>
      <c r="M37" s="13"/>
      <c r="N37" s="13"/>
      <c r="O37" s="13"/>
      <c r="P37" s="13"/>
      <c r="Q37" s="13"/>
      <c r="R37" s="13"/>
      <c r="S37" s="13"/>
      <c r="T37" s="13"/>
      <c r="U37" s="13"/>
      <c r="V37" s="13"/>
      <c r="W37" s="13"/>
      <c r="X37" s="13"/>
    </row>
    <row r="38" spans="1:24" x14ac:dyDescent="0.3">
      <c r="A38" s="13"/>
      <c r="B38" s="13"/>
      <c r="C38" s="13"/>
      <c r="D38" s="13"/>
      <c r="E38" s="13"/>
      <c r="F38" s="13"/>
      <c r="G38" s="13"/>
      <c r="H38" s="13"/>
      <c r="I38" s="13"/>
      <c r="J38" s="13"/>
      <c r="K38" s="13"/>
      <c r="L38" s="13"/>
      <c r="M38" s="13"/>
      <c r="N38" s="13"/>
      <c r="O38" s="13"/>
      <c r="P38" s="13"/>
      <c r="Q38" s="13"/>
      <c r="R38" s="13"/>
      <c r="S38" s="13"/>
      <c r="T38" s="13"/>
      <c r="U38" s="13"/>
      <c r="V38" s="13"/>
      <c r="W38" s="13"/>
      <c r="X38" s="1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B5470CB-AA26-45F9-BFE8-2D0D1FCC26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raw_data</vt:lpstr>
      <vt:lpstr>clean_PQ</vt:lpstr>
      <vt:lpstr>clean_macro.</vt:lpstr>
      <vt:lpstr>Evaluations</vt:lpstr>
      <vt:lpstr>Client_look_up</vt:lpstr>
      <vt:lpstr>pivot_tables</vt:lpstr>
      <vt:lpstr>dashboards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Paulina Brito</dc:creator>
  <cp:lastModifiedBy>Paulina Brito</cp:lastModifiedBy>
  <dcterms:created xsi:type="dcterms:W3CDTF">2026-02-11T07:06:49Z</dcterms:created>
  <dcterms:modified xsi:type="dcterms:W3CDTF">2026-03-12T05:28:54Z</dcterms:modified>
</cp:coreProperties>
</file>